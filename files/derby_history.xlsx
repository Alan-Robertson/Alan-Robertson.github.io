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Summary" sheetId="2" state="visible" r:id="rId4"/>
    <sheet name="Game History" sheetId="3" state="visible" r:id="rId5"/>
    <sheet name="Annuals" sheetId="4" state="visible" r:id="rId6"/>
    <sheet name="Other Summary" sheetId="5" state="visible" r:id="rId7"/>
    <sheet name="Other History" sheetId="6" state="visible" r:id="rId8"/>
  </sheets>
  <definedNames>
    <definedName function="false" hidden="true" localSheetId="2" name="_xlnm._FilterDatabase" vbProcedure="false">'Game History'!$G$1:$K$116</definedName>
    <definedName function="false" hidden="true" localSheetId="5" name="_xlnm._FilterDatabase" vbProcedure="false">'Other History'!$G$1:$K$4</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D13" authorId="0">
      <text>
        <r>
          <rPr>
            <sz val="10"/>
            <rFont val="Arial"/>
            <family val="2"/>
          </rPr>
          <t xml:space="preserve">Head Referees at Playoff games are Crew Head Referees. That information is tallied in the CHR row below.</t>
        </r>
      </text>
      <mc:AlternateContent>
        <mc:Choice Requires="v2">
          <commentPr autoFill="true" autoScale="false" colHidden="false" locked="false" rowHidden="false" textHAlign="justify" textVAlign="justify">
            <anchor moveWithCells="false" sizeWithCells="false">
              <xdr:from>
                <xdr:col>4</xdr:col>
                <xdr:colOff>15</xdr:colOff>
                <xdr:row>12</xdr:row>
                <xdr:rowOff>13</xdr:rowOff>
              </xdr:from>
              <xdr:to>
                <xdr:col>8</xdr:col>
                <xdr:colOff>15</xdr:colOff>
                <xdr:row>16</xdr:row>
                <xdr:rowOff>1</xdr:rowOff>
              </xdr:to>
            </anchor>
          </commentPr>
        </mc:Choice>
        <mc:Fallback/>
      </mc:AlternateContent>
    </comment>
    <comment ref="D36" authorId="0">
      <text>
        <r>
          <rPr>
            <sz val="10"/>
            <rFont val="Arial"/>
            <family val="2"/>
          </rPr>
          <t xml:space="preserve">Head Referees at Playoff games are Crew Head Referees. That information is tallied in the CHR row below.</t>
        </r>
      </text>
      <mc:AlternateContent>
        <mc:Choice Requires="v2">
          <commentPr autoFill="true" autoScale="false" colHidden="false" locked="false" rowHidden="false" textHAlign="justify" textVAlign="justify">
            <anchor moveWithCells="false" sizeWithCells="false">
              <xdr:from>
                <xdr:col>4</xdr:col>
                <xdr:colOff>15</xdr:colOff>
                <xdr:row>35</xdr:row>
                <xdr:rowOff>13</xdr:rowOff>
              </xdr:from>
              <xdr:to>
                <xdr:col>8</xdr:col>
                <xdr:colOff>15</xdr:colOff>
                <xdr:row>39</xdr:row>
                <xdr:rowOff>1</xdr:rowOff>
              </xdr:to>
            </anchor>
          </commentPr>
        </mc:Choice>
        <mc:Fallback/>
      </mc:AlternateContent>
    </comment>
    <comment ref="K13" authorId="0">
      <text>
        <r>
          <rPr>
            <sz val="10"/>
            <rFont val="Arial"/>
            <family val="2"/>
          </rPr>
          <t xml:space="preserve">Head NSOs at Playoff games are Crew Head NSOs. That information is tallied in the CHNSO row below.</t>
        </r>
      </text>
      <mc:AlternateContent>
        <mc:Choice Requires="v2">
          <commentPr autoFill="true" autoScale="false" colHidden="false" locked="false" rowHidden="false" textHAlign="justify" textVAlign="justify">
            <anchor moveWithCells="false" sizeWithCells="false">
              <xdr:from>
                <xdr:col>11</xdr:col>
                <xdr:colOff>15</xdr:colOff>
                <xdr:row>13</xdr:row>
                <xdr:rowOff>1</xdr:rowOff>
              </xdr:from>
              <xdr:to>
                <xdr:col>15</xdr:col>
                <xdr:colOff>15</xdr:colOff>
                <xdr:row>15</xdr:row>
                <xdr:rowOff>13</xdr:rowOff>
              </xdr:to>
            </anchor>
          </commentPr>
        </mc:Choice>
        <mc:Fallback/>
      </mc:AlternateContent>
    </comment>
    <comment ref="K36" authorId="0">
      <text>
        <r>
          <rPr>
            <sz val="10"/>
            <rFont val="Arial"/>
            <family val="2"/>
          </rPr>
          <t xml:space="preserve">Head NSOs at Playoff games are Crew Head NSOs. That information is tallied in the CHNSO row below.</t>
        </r>
      </text>
      <mc:AlternateContent>
        <mc:Choice Requires="v2">
          <commentPr autoFill="true" autoScale="false" colHidden="false" locked="false" rowHidden="false" textHAlign="justify" textVAlign="justify">
            <anchor moveWithCells="false" sizeWithCells="false">
              <xdr:from>
                <xdr:col>11</xdr:col>
                <xdr:colOff>15</xdr:colOff>
                <xdr:row>36</xdr:row>
                <xdr:rowOff>1</xdr:rowOff>
              </xdr:from>
              <xdr:to>
                <xdr:col>15</xdr:col>
                <xdr:colOff>15</xdr:colOff>
                <xdr:row>38</xdr:row>
                <xdr:rowOff>13</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3" authorId="0">
      <text>
        <r>
          <rPr>
            <sz val="10"/>
            <rFont val="Arial"/>
            <family val="2"/>
          </rPr>
          <t xml:space="preserve">List the date as YYYY-MM-DD</t>
        </r>
      </text>
      <mc:AlternateContent>
        <mc:Choice Requires="v2">
          <commentPr autoFill="true" autoScale="false" colHidden="false" locked="false" rowHidden="false" textHAlign="justify" textVAlign="justify">
            <anchor moveWithCells="false" sizeWithCells="false">
              <xdr:from>
                <xdr:col>1</xdr:col>
                <xdr:colOff>15</xdr:colOff>
                <xdr:row>3</xdr:row>
                <xdr:rowOff>10</xdr:rowOff>
              </xdr:from>
              <xdr:to>
                <xdr:col>3</xdr:col>
                <xdr:colOff>18</xdr:colOff>
                <xdr:row>4</xdr:row>
                <xdr:rowOff>12</xdr:rowOff>
              </xdr:to>
            </anchor>
          </commentPr>
        </mc:Choice>
        <mc:Fallback/>
      </mc:AlternateContent>
    </comment>
    <comment ref="B3" authorId="0">
      <text>
        <r>
          <rPr>
            <sz val="10"/>
            <rFont val="Arial"/>
            <family val="2"/>
          </rPr>
          <t xml:space="preserve">Leave this cell blank for all games officiated that are not part of a tournament.</t>
        </r>
      </text>
      <mc:AlternateContent>
        <mc:Choice Requires="v2">
          <commentPr autoFill="true" autoScale="false" colHidden="false" locked="false" rowHidden="false" textHAlign="justify" textVAlign="justify">
            <anchor moveWithCells="false" sizeWithCells="false">
              <xdr:from>
                <xdr:col>2</xdr:col>
                <xdr:colOff>15</xdr:colOff>
                <xdr:row>3</xdr:row>
                <xdr:rowOff>10</xdr:rowOff>
              </xdr:from>
              <xdr:to>
                <xdr:col>3</xdr:col>
                <xdr:colOff>325</xdr:colOff>
                <xdr:row>4</xdr:row>
                <xdr:rowOff>12</xdr:rowOff>
              </xdr:to>
            </anchor>
          </commentPr>
        </mc:Choice>
        <mc:Fallback/>
      </mc:AlternateContent>
    </comment>
    <comment ref="C3" authorId="0">
      <text>
        <r>
          <rPr>
            <sz val="10"/>
            <rFont val="Arial"/>
            <family val="2"/>
          </rPr>
          <t xml:space="preserve">Venue, City, and State/Province. If outside of the USA/Canada, list city and country.</t>
        </r>
      </text>
      <mc:AlternateContent>
        <mc:Choice Requires="v2">
          <commentPr autoFill="true" autoScale="false" colHidden="false" locked="false" rowHidden="false" textHAlign="justify" textVAlign="justify">
            <anchor moveWithCells="false" sizeWithCells="false">
              <xdr:from>
                <xdr:col>3</xdr:col>
                <xdr:colOff>15</xdr:colOff>
                <xdr:row>3</xdr:row>
                <xdr:rowOff>10</xdr:rowOff>
              </xdr:from>
              <xdr:to>
                <xdr:col>4</xdr:col>
                <xdr:colOff>327</xdr:colOff>
                <xdr:row>4</xdr:row>
                <xdr:rowOff>12</xdr:rowOff>
              </xdr:to>
            </anchor>
          </commentPr>
        </mc:Choice>
        <mc:Fallback/>
      </mc:AlternateContent>
    </comment>
    <comment ref="D3" authorId="0">
      <text>
        <r>
          <rPr>
            <sz val="10"/>
            <rFont val="Arial"/>
            <family val="2"/>
          </rPr>
          <t xml:space="preserve">The league whose venue hosts the game played or the league determined as Host in the game contract.</t>
        </r>
      </text>
      <mc:AlternateContent>
        <mc:Choice Requires="v2">
          <commentPr autoFill="true" autoScale="false" colHidden="false" locked="false" rowHidden="false" textHAlign="justify" textVAlign="justify">
            <anchor moveWithCells="false" sizeWithCells="false">
              <xdr:from>
                <xdr:col>4</xdr:col>
                <xdr:colOff>15</xdr:colOff>
                <xdr:row>3</xdr:row>
                <xdr:rowOff>8</xdr:rowOff>
              </xdr:from>
              <xdr:to>
                <xdr:col>6</xdr:col>
                <xdr:colOff>12</xdr:colOff>
                <xdr:row>4</xdr:row>
                <xdr:rowOff>14</xdr:rowOff>
              </xdr:to>
            </anchor>
          </commentPr>
        </mc:Choice>
        <mc:Fallback/>
      </mc:AlternateContent>
    </comment>
    <comment ref="E3" authorId="0">
      <text>
        <r>
          <rPr>
            <sz val="10"/>
            <rFont val="Arial"/>
            <family val="2"/>
          </rPr>
          <t xml:space="preserve">The host or the team decided as Home in the game contract. In all other cases, assign to the higher ranked team.</t>
        </r>
      </text>
      <mc:AlternateContent>
        <mc:Choice Requires="v2">
          <commentPr autoFill="true" autoScale="false" colHidden="false" locked="false" rowHidden="false" textHAlign="justify" textVAlign="justify">
            <anchor moveWithCells="false" sizeWithCells="false">
              <xdr:from>
                <xdr:col>5</xdr:col>
                <xdr:colOff>15</xdr:colOff>
                <xdr:row>3</xdr:row>
                <xdr:rowOff>1</xdr:rowOff>
              </xdr:from>
              <xdr:to>
                <xdr:col>9</xdr:col>
                <xdr:colOff>15</xdr:colOff>
                <xdr:row>5</xdr:row>
                <xdr:rowOff>2</xdr:rowOff>
              </xdr:to>
            </anchor>
          </commentPr>
        </mc:Choice>
        <mc:Fallback/>
      </mc:AlternateContent>
    </comment>
    <comment ref="F3" authorId="0">
      <text>
        <r>
          <rPr>
            <sz val="10"/>
            <rFont val="Arial"/>
            <family val="2"/>
          </rPr>
          <t xml:space="preserve">The visiting team, the team decided as Visitor in the game contract, or the lower ranked of the two teams.</t>
        </r>
      </text>
      <mc:AlternateContent>
        <mc:Choice Requires="v2">
          <commentPr autoFill="true" autoScale="false" colHidden="false" locked="false" rowHidden="false" textHAlign="justify" textVAlign="justify">
            <anchor moveWithCells="false" sizeWithCells="false">
              <xdr:from>
                <xdr:col>6</xdr:col>
                <xdr:colOff>15</xdr:colOff>
                <xdr:row>3</xdr:row>
                <xdr:rowOff>1</xdr:rowOff>
              </xdr:from>
              <xdr:to>
                <xdr:col>10</xdr:col>
                <xdr:colOff>15</xdr:colOff>
                <xdr:row>5</xdr:row>
                <xdr:rowOff>2</xdr:rowOff>
              </xdr:to>
            </anchor>
          </commentPr>
        </mc:Choice>
        <mc:Fallback/>
      </mc:AlternateContent>
    </comment>
    <comment ref="G3" authorId="0">
      <text>
        <r>
          <rPr>
            <sz val="10"/>
            <rFont val="Arial"/>
            <family val="2"/>
          </rPr>
          <t xml:space="preserve">If the game does not meet the guidelines of the respective association, list that game in Other History.</t>
        </r>
      </text>
      <mc:AlternateContent>
        <mc:Choice Requires="v2">
          <commentPr autoFill="true" autoScale="false" colHidden="false" locked="false" rowHidden="false" textHAlign="justify" textVAlign="justify">
            <anchor moveWithCells="false" sizeWithCells="false">
              <xdr:from>
                <xdr:col>7</xdr:col>
                <xdr:colOff>15</xdr:colOff>
                <xdr:row>3</xdr:row>
                <xdr:rowOff>1</xdr:rowOff>
              </xdr:from>
              <xdr:to>
                <xdr:col>11</xdr:col>
                <xdr:colOff>15</xdr:colOff>
                <xdr:row>5</xdr:row>
                <xdr:rowOff>2</xdr:rowOff>
              </xdr:to>
            </anchor>
          </commentPr>
        </mc:Choice>
        <mc:Fallback/>
      </mc:AlternateContent>
    </comment>
    <comment ref="H3" authorId="0">
      <text>
        <r>
          <rPr>
            <sz val="10"/>
            <rFont val="Arial"/>
            <family val="2"/>
          </rPr>
          <t xml:space="preserve">Regulation games follow the full letter of the rules. Sanctioned games are Regulation games that count toward a team's ranking.</t>
        </r>
      </text>
      <mc:AlternateContent>
        <mc:Choice Requires="v2">
          <commentPr autoFill="true" autoScale="false" colHidden="false" locked="false" rowHidden="false" textHAlign="justify" textVAlign="justify">
            <anchor moveWithCells="false" sizeWithCells="false">
              <xdr:from>
                <xdr:col>8</xdr:col>
                <xdr:colOff>15</xdr:colOff>
                <xdr:row>3</xdr:row>
                <xdr:rowOff>1</xdr:rowOff>
              </xdr:from>
              <xdr:to>
                <xdr:col>12</xdr:col>
                <xdr:colOff>15</xdr:colOff>
                <xdr:row>5</xdr:row>
                <xdr:rowOff>2</xdr:rowOff>
              </xdr:to>
            </anchor>
          </commentPr>
        </mc:Choice>
        <mc:Fallback/>
      </mc:AlternateContent>
    </comment>
    <comment ref="I3" authorId="0">
      <text>
        <r>
          <rPr>
            <sz val="10"/>
            <rFont val="Arial"/>
            <family val="2"/>
          </rPr>
          <t xml:space="preserve">Use positional abbreviations as defined in the instructions.</t>
        </r>
      </text>
      <mc:AlternateContent>
        <mc:Choice Requires="v2">
          <commentPr autoFill="true" autoScale="false" colHidden="false" locked="false" rowHidden="false" textHAlign="justify" textVAlign="justify">
            <anchor moveWithCells="false" sizeWithCells="false">
              <xdr:from>
                <xdr:col>9</xdr:col>
                <xdr:colOff>15</xdr:colOff>
                <xdr:row>3</xdr:row>
                <xdr:rowOff>10</xdr:rowOff>
              </xdr:from>
              <xdr:to>
                <xdr:col>13</xdr:col>
                <xdr:colOff>15</xdr:colOff>
                <xdr:row>4</xdr:row>
                <xdr:rowOff>12</xdr:rowOff>
              </xdr:to>
            </anchor>
          </commentPr>
        </mc:Choice>
        <mc:Fallback/>
      </mc:AlternateContent>
    </comment>
    <comment ref="J3" authorId="0">
      <text>
        <r>
          <rPr>
            <sz val="10"/>
            <rFont val="Arial"/>
            <family val="2"/>
          </rPr>
          <t xml:space="preserve">If you filled a second position while HR/HNSO, list that position here. If you did not fill a second position, leave this cell blank.</t>
        </r>
      </text>
      <mc:AlternateContent>
        <mc:Choice Requires="v2">
          <commentPr autoFill="true" autoScale="false" colHidden="false" locked="false" rowHidden="false" textHAlign="justify" textVAlign="justify">
            <anchor moveWithCells="false" sizeWithCells="false">
              <xdr:from>
                <xdr:col>10</xdr:col>
                <xdr:colOff>15</xdr:colOff>
                <xdr:row>3</xdr:row>
                <xdr:rowOff>8</xdr:rowOff>
              </xdr:from>
              <xdr:to>
                <xdr:col>14</xdr:col>
                <xdr:colOff>15</xdr:colOff>
                <xdr:row>4</xdr:row>
                <xdr:rowOff>14</xdr:rowOff>
              </xdr:to>
            </anchor>
          </commentPr>
        </mc:Choice>
        <mc:Fallback/>
      </mc:AlternateContent>
    </comment>
    <comment ref="K3" authorId="0">
      <text>
        <r>
          <rPr>
            <sz val="10"/>
            <rFont val="Arial"/>
            <family val="2"/>
          </rPr>
          <t xml:space="preserve">Do NOT mark Y for local software builds like the CRG Scoreboard. Use this for association-endorsed software (e.g., Rinxter).</t>
        </r>
      </text>
      <mc:AlternateContent>
        <mc:Choice Requires="v2">
          <commentPr autoFill="true" autoScale="false" colHidden="false" locked="false" rowHidden="false" textHAlign="justify" textVAlign="justify">
            <anchor moveWithCells="false" sizeWithCells="false">
              <xdr:from>
                <xdr:col>11</xdr:col>
                <xdr:colOff>15</xdr:colOff>
                <xdr:row>3</xdr:row>
                <xdr:rowOff>8</xdr:rowOff>
              </xdr:from>
              <xdr:to>
                <xdr:col>15</xdr:col>
                <xdr:colOff>15</xdr:colOff>
                <xdr:row>4</xdr:row>
                <xdr:rowOff>14</xdr:rowOff>
              </xdr:to>
            </anchor>
          </commentPr>
        </mc:Choice>
        <mc:Fallback/>
      </mc:AlternateContent>
    </comment>
    <comment ref="L2" authorId="0">
      <text>
        <r>
          <rPr>
            <sz val="10"/>
            <rFont val="Arial"/>
            <family val="2"/>
          </rPr>
          <t xml:space="preserve">If this was a tournament game, list the THR. If you were the HR, list a witness, such as a team captain.</t>
        </r>
      </text>
      <mc:AlternateContent>
        <mc:Choice Requires="v2">
          <commentPr autoFill="true" autoScale="false" colHidden="false" locked="false" rowHidden="false" textHAlign="justify" textVAlign="justify">
            <anchor moveWithCells="false" sizeWithCells="false">
              <xdr:from>
                <xdr:col>12</xdr:col>
                <xdr:colOff>15</xdr:colOff>
                <xdr:row>2</xdr:row>
                <xdr:rowOff>10</xdr:rowOff>
              </xdr:from>
              <xdr:to>
                <xdr:col>16</xdr:col>
                <xdr:colOff>15</xdr:colOff>
                <xdr:row>3</xdr:row>
                <xdr:rowOff>25</xdr:rowOff>
              </xdr:to>
            </anchor>
          </commentPr>
        </mc:Choice>
        <mc:Fallback/>
      </mc:AlternateContent>
    </comment>
    <comment ref="M2" authorId="0">
      <text>
        <r>
          <rPr>
            <sz val="10"/>
            <rFont val="Arial"/>
            <family val="2"/>
          </rPr>
          <t xml:space="preserve">If this was a tournament game, list the THNSO. If you were the HNSO, list a witness, such as a team captain.</t>
        </r>
      </text>
      <mc:AlternateContent>
        <mc:Choice Requires="v2">
          <commentPr autoFill="true" autoScale="false" colHidden="false" locked="false" rowHidden="false" textHAlign="justify" textVAlign="justify">
            <anchor moveWithCells="false" sizeWithCells="false">
              <xdr:from>
                <xdr:col>13</xdr:col>
                <xdr:colOff>15</xdr:colOff>
                <xdr:row>2</xdr:row>
                <xdr:rowOff>10</xdr:rowOff>
              </xdr:from>
              <xdr:to>
                <xdr:col>17</xdr:col>
                <xdr:colOff>15</xdr:colOff>
                <xdr:row>3</xdr:row>
                <xdr:rowOff>25</xdr:rowOff>
              </xdr:to>
            </anchor>
          </commentPr>
        </mc:Choice>
        <mc:Fallback/>
      </mc:AlternateContent>
    </comment>
    <comment ref="N2" authorId="0">
      <text>
        <r>
          <rPr>
            <sz val="10"/>
            <rFont val="Arial"/>
            <family val="2"/>
          </rPr>
          <t xml:space="preserve">List any other pertinent information here, such as game details or the CHR/CHNSO if this was a tournament game.</t>
        </r>
      </text>
      <mc:AlternateContent>
        <mc:Choice Requires="v2">
          <commentPr autoFill="true" autoScale="false" colHidden="false" locked="false" rowHidden="false" textHAlign="justify" textVAlign="justify">
            <anchor moveWithCells="false" sizeWithCells="false">
              <xdr:from>
                <xdr:col>14</xdr:col>
                <xdr:colOff>15</xdr:colOff>
                <xdr:row>2</xdr:row>
                <xdr:rowOff>10</xdr:rowOff>
              </xdr:from>
              <xdr:to>
                <xdr:col>18</xdr:col>
                <xdr:colOff>15</xdr:colOff>
                <xdr:row>3</xdr:row>
                <xdr:rowOff>25</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2"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1</xdr:col>
                <xdr:colOff>15</xdr:colOff>
                <xdr:row>11</xdr:row>
                <xdr:rowOff>0</xdr:rowOff>
              </xdr:from>
              <xdr:to>
                <xdr:col>5</xdr:col>
                <xdr:colOff>15</xdr:colOff>
                <xdr:row>15</xdr:row>
                <xdr:rowOff>13</xdr:rowOff>
              </xdr:to>
            </anchor>
          </commentPr>
        </mc:Choice>
        <mc:Fallback/>
      </mc:AlternateContent>
    </comment>
    <comment ref="A32"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1</xdr:col>
                <xdr:colOff>15</xdr:colOff>
                <xdr:row>31</xdr:row>
                <xdr:rowOff>0</xdr:rowOff>
              </xdr:from>
              <xdr:to>
                <xdr:col>5</xdr:col>
                <xdr:colOff>15</xdr:colOff>
                <xdr:row>35</xdr:row>
                <xdr:rowOff>14</xdr:rowOff>
              </xdr:to>
            </anchor>
          </commentPr>
        </mc:Choice>
        <mc:Fallback/>
      </mc:AlternateContent>
    </comment>
    <comment ref="A34" authorId="0">
      <text>
        <r>
          <rPr>
            <sz val="10"/>
            <rFont val="Arial"/>
            <family val="2"/>
          </rPr>
          <t xml:space="preserve">Positional Family totals include secondary positions worked as HNSO.</t>
        </r>
      </text>
      <mc:AlternateContent>
        <mc:Choice Requires="v2">
          <commentPr autoFill="true" autoScale="false" colHidden="false" locked="false" rowHidden="false" textHAlign="justify" textVAlign="justify">
            <anchor moveWithCells="false" sizeWithCells="false">
              <xdr:from>
                <xdr:col>1</xdr:col>
                <xdr:colOff>15</xdr:colOff>
                <xdr:row>33</xdr:row>
                <xdr:rowOff>15</xdr:rowOff>
              </xdr:from>
              <xdr:to>
                <xdr:col>5</xdr:col>
                <xdr:colOff>15</xdr:colOff>
                <xdr:row>36</xdr:row>
                <xdr:rowOff>19</xdr:rowOff>
              </xdr:to>
            </anchor>
          </commentPr>
        </mc:Choice>
        <mc:Fallback/>
      </mc:AlternateContent>
    </comment>
    <comment ref="A51"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1</xdr:col>
                <xdr:colOff>15</xdr:colOff>
                <xdr:row>50</xdr:row>
                <xdr:rowOff>0</xdr:rowOff>
              </xdr:from>
              <xdr:to>
                <xdr:col>5</xdr:col>
                <xdr:colOff>15</xdr:colOff>
                <xdr:row>54</xdr:row>
                <xdr:rowOff>13</xdr:rowOff>
              </xdr:to>
            </anchor>
          </commentPr>
        </mc:Choice>
        <mc:Fallback/>
      </mc:AlternateContent>
    </comment>
    <comment ref="A71"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1</xdr:col>
                <xdr:colOff>15</xdr:colOff>
                <xdr:row>70</xdr:row>
                <xdr:rowOff>0</xdr:rowOff>
              </xdr:from>
              <xdr:to>
                <xdr:col>5</xdr:col>
                <xdr:colOff>15</xdr:colOff>
                <xdr:row>74</xdr:row>
                <xdr:rowOff>13</xdr:rowOff>
              </xdr:to>
            </anchor>
          </commentPr>
        </mc:Choice>
        <mc:Fallback/>
      </mc:AlternateContent>
    </comment>
    <comment ref="A73" authorId="0">
      <text>
        <r>
          <rPr>
            <sz val="10"/>
            <rFont val="Arial"/>
            <family val="2"/>
          </rPr>
          <t xml:space="preserve">Positional Family totals include secondary positions worked as HNSO.</t>
        </r>
      </text>
      <mc:AlternateContent>
        <mc:Choice Requires="v2">
          <commentPr autoFill="true" autoScale="false" colHidden="false" locked="false" rowHidden="false" textHAlign="justify" textVAlign="justify">
            <anchor moveWithCells="false" sizeWithCells="false">
              <xdr:from>
                <xdr:col>1</xdr:col>
                <xdr:colOff>15</xdr:colOff>
                <xdr:row>72</xdr:row>
                <xdr:rowOff>15</xdr:rowOff>
              </xdr:from>
              <xdr:to>
                <xdr:col>5</xdr:col>
                <xdr:colOff>15</xdr:colOff>
                <xdr:row>75</xdr:row>
                <xdr:rowOff>19</xdr:rowOff>
              </xdr:to>
            </anchor>
          </commentPr>
        </mc:Choice>
        <mc:Fallback/>
      </mc:AlternateContent>
    </comment>
    <comment ref="B7" authorId="0">
      <text>
        <r>
          <rPr>
            <sz val="10"/>
            <rFont val="Arial"/>
            <family val="2"/>
          </rPr>
          <t xml:space="preserve">Head Referees at Playoff games are Crew Head Referees. That information is tallied in the CHR row above.</t>
        </r>
      </text>
      <mc:AlternateContent>
        <mc:Choice Requires="v2">
          <commentPr autoFill="true" autoScale="false" colHidden="false" locked="false" rowHidden="false" textHAlign="justify" textVAlign="justify">
            <anchor moveWithCells="false" sizeWithCells="false">
              <xdr:from>
                <xdr:col>2</xdr:col>
                <xdr:colOff>15</xdr:colOff>
                <xdr:row>6</xdr:row>
                <xdr:rowOff>8</xdr:rowOff>
              </xdr:from>
              <xdr:to>
                <xdr:col>6</xdr:col>
                <xdr:colOff>15</xdr:colOff>
                <xdr:row>10</xdr:row>
                <xdr:rowOff>6</xdr:rowOff>
              </xdr:to>
            </anchor>
          </commentPr>
        </mc:Choice>
        <mc:Fallback/>
      </mc:AlternateContent>
    </comment>
    <comment ref="B20" authorId="0">
      <text>
        <r>
          <rPr>
            <sz val="10"/>
            <rFont val="Arial"/>
            <family val="2"/>
          </rPr>
          <t xml:space="preserve">Head NSOs at Playoff games are Crew Head NSOs. That information is tallied in the CHNSO row above.</t>
        </r>
      </text>
      <mc:AlternateContent>
        <mc:Choice Requires="v2">
          <commentPr autoFill="true" autoScale="false" colHidden="false" locked="false" rowHidden="false" textHAlign="justify" textVAlign="justify">
            <anchor moveWithCells="false" sizeWithCells="false">
              <xdr:from>
                <xdr:col>2</xdr:col>
                <xdr:colOff>15</xdr:colOff>
                <xdr:row>19</xdr:row>
                <xdr:rowOff>8</xdr:rowOff>
              </xdr:from>
              <xdr:to>
                <xdr:col>6</xdr:col>
                <xdr:colOff>15</xdr:colOff>
                <xdr:row>23</xdr:row>
                <xdr:rowOff>6</xdr:rowOff>
              </xdr:to>
            </anchor>
          </commentPr>
        </mc:Choice>
        <mc:Fallback/>
      </mc:AlternateContent>
    </comment>
    <comment ref="B46" authorId="0">
      <text>
        <r>
          <rPr>
            <sz val="10"/>
            <rFont val="Arial"/>
            <family val="2"/>
          </rPr>
          <t xml:space="preserve">Head Referees at Playoff games are Crew Head Referees. That information is tallied in the CHR row above.</t>
        </r>
      </text>
      <mc:AlternateContent>
        <mc:Choice Requires="v2">
          <commentPr autoFill="true" autoScale="false" colHidden="false" locked="false" rowHidden="false" textHAlign="justify" textVAlign="justify">
            <anchor moveWithCells="false" sizeWithCells="false">
              <xdr:from>
                <xdr:col>2</xdr:col>
                <xdr:colOff>15</xdr:colOff>
                <xdr:row>45</xdr:row>
                <xdr:rowOff>8</xdr:rowOff>
              </xdr:from>
              <xdr:to>
                <xdr:col>6</xdr:col>
                <xdr:colOff>15</xdr:colOff>
                <xdr:row>49</xdr:row>
                <xdr:rowOff>6</xdr:rowOff>
              </xdr:to>
            </anchor>
          </commentPr>
        </mc:Choice>
        <mc:Fallback/>
      </mc:AlternateContent>
    </comment>
    <comment ref="B59" authorId="0">
      <text>
        <r>
          <rPr>
            <sz val="10"/>
            <rFont val="Arial"/>
            <family val="2"/>
          </rPr>
          <t xml:space="preserve">Head NSOs at Playoff games are Crew Head NSOs. That information is tallied in the CHNSO row above.</t>
        </r>
      </text>
      <mc:AlternateContent>
        <mc:Choice Requires="v2">
          <commentPr autoFill="true" autoScale="false" colHidden="false" locked="false" rowHidden="false" textHAlign="justify" textVAlign="justify">
            <anchor moveWithCells="false" sizeWithCells="false">
              <xdr:from>
                <xdr:col>2</xdr:col>
                <xdr:colOff>15</xdr:colOff>
                <xdr:row>58</xdr:row>
                <xdr:rowOff>8</xdr:rowOff>
              </xdr:from>
              <xdr:to>
                <xdr:col>6</xdr:col>
                <xdr:colOff>15</xdr:colOff>
                <xdr:row>62</xdr:row>
                <xdr:rowOff>6</xdr:rowOff>
              </xdr:to>
            </anchor>
          </commentPr>
        </mc:Choice>
        <mc:Fallback/>
      </mc:AlternateContent>
    </comment>
    <comment ref="H12"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8</xdr:col>
                <xdr:colOff>15</xdr:colOff>
                <xdr:row>11</xdr:row>
                <xdr:rowOff>0</xdr:rowOff>
              </xdr:from>
              <xdr:to>
                <xdr:col>12</xdr:col>
                <xdr:colOff>15</xdr:colOff>
                <xdr:row>15</xdr:row>
                <xdr:rowOff>13</xdr:rowOff>
              </xdr:to>
            </anchor>
          </commentPr>
        </mc:Choice>
        <mc:Fallback/>
      </mc:AlternateContent>
    </comment>
    <comment ref="H32"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8</xdr:col>
                <xdr:colOff>15</xdr:colOff>
                <xdr:row>31</xdr:row>
                <xdr:rowOff>0</xdr:rowOff>
              </xdr:from>
              <xdr:to>
                <xdr:col>12</xdr:col>
                <xdr:colOff>15</xdr:colOff>
                <xdr:row>35</xdr:row>
                <xdr:rowOff>14</xdr:rowOff>
              </xdr:to>
            </anchor>
          </commentPr>
        </mc:Choice>
        <mc:Fallback/>
      </mc:AlternateContent>
    </comment>
    <comment ref="H34" authorId="0">
      <text>
        <r>
          <rPr>
            <sz val="10"/>
            <rFont val="Arial"/>
            <family val="2"/>
          </rPr>
          <t xml:space="preserve">Positional Family totals include secondary positions worked as HNSO.</t>
        </r>
      </text>
      <mc:AlternateContent>
        <mc:Choice Requires="v2">
          <commentPr autoFill="true" autoScale="false" colHidden="false" locked="false" rowHidden="false" textHAlign="justify" textVAlign="justify">
            <anchor moveWithCells="false" sizeWithCells="false">
              <xdr:from>
                <xdr:col>8</xdr:col>
                <xdr:colOff>15</xdr:colOff>
                <xdr:row>33</xdr:row>
                <xdr:rowOff>15</xdr:rowOff>
              </xdr:from>
              <xdr:to>
                <xdr:col>12</xdr:col>
                <xdr:colOff>15</xdr:colOff>
                <xdr:row>36</xdr:row>
                <xdr:rowOff>19</xdr:rowOff>
              </xdr:to>
            </anchor>
          </commentPr>
        </mc:Choice>
        <mc:Fallback/>
      </mc:AlternateContent>
    </comment>
    <comment ref="H51"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8</xdr:col>
                <xdr:colOff>15</xdr:colOff>
                <xdr:row>50</xdr:row>
                <xdr:rowOff>0</xdr:rowOff>
              </xdr:from>
              <xdr:to>
                <xdr:col>12</xdr:col>
                <xdr:colOff>15</xdr:colOff>
                <xdr:row>54</xdr:row>
                <xdr:rowOff>13</xdr:rowOff>
              </xdr:to>
            </anchor>
          </commentPr>
        </mc:Choice>
        <mc:Fallback/>
      </mc:AlternateContent>
    </comment>
    <comment ref="H71" authorId="0">
      <text>
        <r>
          <rPr>
            <sz val="10"/>
            <rFont val="Arial"/>
            <family val="2"/>
          </rPr>
          <t xml:space="preserve">These totals are the sum of positions worked not of games worked. These totals may exceed those shown in the Summary.</t>
        </r>
      </text>
      <mc:AlternateContent>
        <mc:Choice Requires="v2">
          <commentPr autoFill="true" autoScale="false" colHidden="false" locked="false" rowHidden="false" textHAlign="justify" textVAlign="justify">
            <anchor moveWithCells="false" sizeWithCells="false">
              <xdr:from>
                <xdr:col>8</xdr:col>
                <xdr:colOff>15</xdr:colOff>
                <xdr:row>70</xdr:row>
                <xdr:rowOff>0</xdr:rowOff>
              </xdr:from>
              <xdr:to>
                <xdr:col>12</xdr:col>
                <xdr:colOff>15</xdr:colOff>
                <xdr:row>74</xdr:row>
                <xdr:rowOff>13</xdr:rowOff>
              </xdr:to>
            </anchor>
          </commentPr>
        </mc:Choice>
        <mc:Fallback/>
      </mc:AlternateContent>
    </comment>
    <comment ref="H73" authorId="0">
      <text>
        <r>
          <rPr>
            <sz val="10"/>
            <rFont val="Arial"/>
            <family val="2"/>
          </rPr>
          <t xml:space="preserve">Positional Family totals include secondary positions worked as HNSO.</t>
        </r>
      </text>
      <mc:AlternateContent>
        <mc:Choice Requires="v2">
          <commentPr autoFill="true" autoScale="false" colHidden="false" locked="false" rowHidden="false" textHAlign="justify" textVAlign="justify">
            <anchor moveWithCells="false" sizeWithCells="false">
              <xdr:from>
                <xdr:col>8</xdr:col>
                <xdr:colOff>15</xdr:colOff>
                <xdr:row>72</xdr:row>
                <xdr:rowOff>15</xdr:rowOff>
              </xdr:from>
              <xdr:to>
                <xdr:col>12</xdr:col>
                <xdr:colOff>15</xdr:colOff>
                <xdr:row>75</xdr:row>
                <xdr:rowOff>19</xdr:rowOff>
              </xdr:to>
            </anchor>
          </commentPr>
        </mc:Choice>
        <mc:Fallback/>
      </mc:AlternateContent>
    </comment>
    <comment ref="I7" authorId="0">
      <text>
        <r>
          <rPr>
            <sz val="10"/>
            <rFont val="Arial"/>
            <family val="2"/>
          </rPr>
          <t xml:space="preserve">Head Referees at Playoff games are Crew Head Referees. That information is tallied in the CHR row above.</t>
        </r>
      </text>
      <mc:AlternateContent>
        <mc:Choice Requires="v2">
          <commentPr autoFill="true" autoScale="false" colHidden="false" locked="false" rowHidden="false" textHAlign="justify" textVAlign="justify">
            <anchor moveWithCells="false" sizeWithCells="false">
              <xdr:from>
                <xdr:col>9</xdr:col>
                <xdr:colOff>15</xdr:colOff>
                <xdr:row>6</xdr:row>
                <xdr:rowOff>8</xdr:rowOff>
              </xdr:from>
              <xdr:to>
                <xdr:col>13</xdr:col>
                <xdr:colOff>15</xdr:colOff>
                <xdr:row>10</xdr:row>
                <xdr:rowOff>6</xdr:rowOff>
              </xdr:to>
            </anchor>
          </commentPr>
        </mc:Choice>
        <mc:Fallback/>
      </mc:AlternateContent>
    </comment>
    <comment ref="I20" authorId="0">
      <text>
        <r>
          <rPr>
            <sz val="10"/>
            <rFont val="Arial"/>
            <family val="2"/>
          </rPr>
          <t xml:space="preserve">Head NSOs at Playoff games are Crew Head NSOs. That information is tallied in the CHNSO row above.</t>
        </r>
      </text>
      <mc:AlternateContent>
        <mc:Choice Requires="v2">
          <commentPr autoFill="true" autoScale="false" colHidden="false" locked="false" rowHidden="false" textHAlign="justify" textVAlign="justify">
            <anchor moveWithCells="false" sizeWithCells="false">
              <xdr:from>
                <xdr:col>9</xdr:col>
                <xdr:colOff>15</xdr:colOff>
                <xdr:row>19</xdr:row>
                <xdr:rowOff>8</xdr:rowOff>
              </xdr:from>
              <xdr:to>
                <xdr:col>13</xdr:col>
                <xdr:colOff>15</xdr:colOff>
                <xdr:row>23</xdr:row>
                <xdr:rowOff>6</xdr:rowOff>
              </xdr:to>
            </anchor>
          </commentPr>
        </mc:Choice>
        <mc:Fallback/>
      </mc:AlternateContent>
    </comment>
    <comment ref="I46" authorId="0">
      <text>
        <r>
          <rPr>
            <sz val="10"/>
            <rFont val="Arial"/>
            <family val="2"/>
          </rPr>
          <t xml:space="preserve">Head Referees at Playoff games are Crew Head Referees. That information is tallied in the CHR row above.</t>
        </r>
      </text>
      <mc:AlternateContent>
        <mc:Choice Requires="v2">
          <commentPr autoFill="true" autoScale="false" colHidden="false" locked="false" rowHidden="false" textHAlign="justify" textVAlign="justify">
            <anchor moveWithCells="false" sizeWithCells="false">
              <xdr:from>
                <xdr:col>9</xdr:col>
                <xdr:colOff>15</xdr:colOff>
                <xdr:row>45</xdr:row>
                <xdr:rowOff>8</xdr:rowOff>
              </xdr:from>
              <xdr:to>
                <xdr:col>13</xdr:col>
                <xdr:colOff>15</xdr:colOff>
                <xdr:row>49</xdr:row>
                <xdr:rowOff>6</xdr:rowOff>
              </xdr:to>
            </anchor>
          </commentPr>
        </mc:Choice>
        <mc:Fallback/>
      </mc:AlternateContent>
    </comment>
    <comment ref="I59" authorId="0">
      <text>
        <r>
          <rPr>
            <sz val="10"/>
            <rFont val="Arial"/>
            <family val="2"/>
          </rPr>
          <t xml:space="preserve">Head NSOs at Playoff games are Crew Head NSOs. That information is tallied in the CHNSO row above.</t>
        </r>
      </text>
      <mc:AlternateContent>
        <mc:Choice Requires="v2">
          <commentPr autoFill="true" autoScale="false" colHidden="false" locked="false" rowHidden="false" textHAlign="justify" textVAlign="justify">
            <anchor moveWithCells="false" sizeWithCells="false">
              <xdr:from>
                <xdr:col>9</xdr:col>
                <xdr:colOff>15</xdr:colOff>
                <xdr:row>58</xdr:row>
                <xdr:rowOff>8</xdr:rowOff>
              </xdr:from>
              <xdr:to>
                <xdr:col>13</xdr:col>
                <xdr:colOff>15</xdr:colOff>
                <xdr:row>62</xdr:row>
                <xdr:rowOff>6</xdr:rowOff>
              </xdr:to>
            </anchor>
          </commentPr>
        </mc:Choice>
        <mc:Fallback/>
      </mc:AlternateContent>
    </comment>
  </commentList>
</comments>
</file>

<file path=xl/sharedStrings.xml><?xml version="1.0" encoding="utf-8"?>
<sst xmlns="http://schemas.openxmlformats.org/spreadsheetml/2006/main" count="2109" uniqueCount="476">
  <si>
    <t xml:space="preserve">Flat Track Derby Game History Summary</t>
  </si>
  <si>
    <t xml:space="preserve">Official's Legal Name</t>
  </si>
  <si>
    <t xml:space="preserve">Alan Robertson</t>
  </si>
  <si>
    <t xml:space="preserve">Today's Date</t>
  </si>
  <si>
    <t xml:space="preserve">Official's Derby Name</t>
  </si>
  <si>
    <t xml:space="preserve">Redacted</t>
  </si>
  <si>
    <t xml:space="preserve">Officiating Since</t>
  </si>
  <si>
    <t xml:space="preserve">Affiliated League</t>
  </si>
  <si>
    <t xml:space="preserve">Central Coast Roller Derby United / Sydney Roller Derby League</t>
  </si>
  <si>
    <t xml:space="preserve">Insurance #</t>
  </si>
  <si>
    <t xml:space="preserve">Provider</t>
  </si>
  <si>
    <t xml:space="preserve">Skate Victoria</t>
  </si>
  <si>
    <t xml:space="preserve">Ref Cert Level</t>
  </si>
  <si>
    <t xml:space="preserve">Endorsement(s)</t>
  </si>
  <si>
    <t xml:space="preserve">NSO Cert Level</t>
  </si>
  <si>
    <t xml:space="preserve">WFTDA</t>
  </si>
  <si>
    <t xml:space="preserve">Skating Positions</t>
  </si>
  <si>
    <t xml:space="preserve">Code</t>
  </si>
  <si>
    <t xml:space="preserve">Game Designation</t>
  </si>
  <si>
    <t xml:space="preserve">Non-Skating Positions</t>
  </si>
  <si>
    <t xml:space="preserve">Playoff</t>
  </si>
  <si>
    <t xml:space="preserve">Sanc</t>
  </si>
  <si>
    <t xml:space="preserve">Reg</t>
  </si>
  <si>
    <t xml:space="preserve">Other</t>
  </si>
  <si>
    <t xml:space="preserve">Head Referee</t>
  </si>
  <si>
    <t xml:space="preserve">HR</t>
  </si>
  <si>
    <t xml:space="preserve">—</t>
  </si>
  <si>
    <t xml:space="preserve">Head NSO</t>
  </si>
  <si>
    <t xml:space="preserve">HNSO</t>
  </si>
  <si>
    <t xml:space="preserve">Jammer Referee</t>
  </si>
  <si>
    <t xml:space="preserve">JR</t>
  </si>
  <si>
    <t xml:space="preserve">Penalty Tracker</t>
  </si>
  <si>
    <t xml:space="preserve">PT</t>
  </si>
  <si>
    <t xml:space="preserve">Inside Pack Referee</t>
  </si>
  <si>
    <t xml:space="preserve">IPR</t>
  </si>
  <si>
    <t xml:space="preserve">Penalty Wrangler</t>
  </si>
  <si>
    <t xml:space="preserve">PW</t>
  </si>
  <si>
    <t xml:space="preserve">Outside Pack Referee</t>
  </si>
  <si>
    <t xml:space="preserve">OPR</t>
  </si>
  <si>
    <t xml:space="preserve">Inside White Board</t>
  </si>
  <si>
    <t xml:space="preserve">IWB</t>
  </si>
  <si>
    <t xml:space="preserve">Alternate Referee</t>
  </si>
  <si>
    <t xml:space="preserve">ALTR</t>
  </si>
  <si>
    <t xml:space="preserve">Outside White Board</t>
  </si>
  <si>
    <t xml:space="preserve">OWB</t>
  </si>
  <si>
    <t xml:space="preserve">Total Referee</t>
  </si>
  <si>
    <t xml:space="preserve">Jam Timer</t>
  </si>
  <si>
    <t xml:space="preserve">JT</t>
  </si>
  <si>
    <t xml:space="preserve">Scorekeeper</t>
  </si>
  <si>
    <t xml:space="preserve">SK</t>
  </si>
  <si>
    <t xml:space="preserve">Tournament Head Referee</t>
  </si>
  <si>
    <t xml:space="preserve">THR</t>
  </si>
  <si>
    <t xml:space="preserve">Scoreboard Operator</t>
  </si>
  <si>
    <t xml:space="preserve">SO</t>
  </si>
  <si>
    <t xml:space="preserve">Crew Head Referee</t>
  </si>
  <si>
    <t xml:space="preserve">CHR</t>
  </si>
  <si>
    <t xml:space="preserve">Penalty Box Manager</t>
  </si>
  <si>
    <t xml:space="preserve">PBM</t>
  </si>
  <si>
    <t xml:space="preserve">Games Official</t>
  </si>
  <si>
    <t xml:space="preserve">GO</t>
  </si>
  <si>
    <t xml:space="preserve">Penalty Box Timer</t>
  </si>
  <si>
    <t xml:space="preserve">PBT</t>
  </si>
  <si>
    <t xml:space="preserve">Tournament Head NSO</t>
  </si>
  <si>
    <t xml:space="preserve">THNSO</t>
  </si>
  <si>
    <t xml:space="preserve">Lineup Tracker</t>
  </si>
  <si>
    <t xml:space="preserve">LT</t>
  </si>
  <si>
    <t xml:space="preserve">Crew Head NSO</t>
  </si>
  <si>
    <t xml:space="preserve">CHNSO</t>
  </si>
  <si>
    <t xml:space="preserve">Alternate NSO</t>
  </si>
  <si>
    <t xml:space="preserve">ALTN</t>
  </si>
  <si>
    <t xml:space="preserve">Total NSO</t>
  </si>
  <si>
    <t xml:space="preserve">WFTDA Officiating Clinics attended</t>
  </si>
  <si>
    <t xml:space="preserve">Total Software Operator Game Experience</t>
  </si>
  <si>
    <t xml:space="preserve">REF or NSO Track</t>
  </si>
  <si>
    <t xml:space="preserve">Location</t>
  </si>
  <si>
    <t xml:space="preserve">Year</t>
  </si>
  <si>
    <t xml:space="preserve">WFTDA Games Totals</t>
  </si>
  <si>
    <t xml:space="preserve">Current Rule Set</t>
  </si>
  <si>
    <t xml:space="preserve">Lifetime</t>
  </si>
  <si>
    <t xml:space="preserve">Referee</t>
  </si>
  <si>
    <t xml:space="preserve">NSO</t>
  </si>
  <si>
    <t xml:space="preserve">MRDA</t>
  </si>
  <si>
    <t xml:space="preserve">MRDA Officiating Clinics attended</t>
  </si>
  <si>
    <t xml:space="preserve">MRDA Games Totals</t>
  </si>
  <si>
    <t xml:space="preserve">Game and Officiating Position History</t>
  </si>
  <si>
    <t xml:space="preserve">Event Details</t>
  </si>
  <si>
    <t xml:space="preserve">Leagues and Teams</t>
  </si>
  <si>
    <t xml:space="preserve">Game Specifics</t>
  </si>
  <si>
    <t xml:space="preserve">Head Referee/Witness</t>
  </si>
  <si>
    <t xml:space="preserve">Head NSO/Witness</t>
  </si>
  <si>
    <t xml:space="preserve">Notes</t>
  </si>
  <si>
    <t xml:space="preserve">Date</t>
  </si>
  <si>
    <t xml:space="preserve">Tournament</t>
  </si>
  <si>
    <t xml:space="preserve">Host League</t>
  </si>
  <si>
    <t xml:space="preserve">Home Team/Higher Seed</t>
  </si>
  <si>
    <t xml:space="preserve">Visiting Team/Lower Seed</t>
  </si>
  <si>
    <t xml:space="preserve">Assoc</t>
  </si>
  <si>
    <t xml:space="preserve">Type</t>
  </si>
  <si>
    <t xml:space="preserve">Position</t>
  </si>
  <si>
    <t xml:space="preserve">HO 2nd Position (if applicable)</t>
  </si>
  <si>
    <t xml:space="preserve">Positional Software Operator?</t>
  </si>
  <si>
    <t xml:space="preserve">5x5</t>
  </si>
  <si>
    <t xml:space="preserve">Blue Mountains, NSW, Australia </t>
  </si>
  <si>
    <t xml:space="preserve">Blue Mountains Roller Derby League</t>
  </si>
  <si>
    <t xml:space="preserve">Sydney Roller Derby League (Velociraptors)</t>
  </si>
  <si>
    <t xml:space="preserve">Newcastle Roller Derby League </t>
  </si>
  <si>
    <t xml:space="preserve">John Ref Kennedy</t>
  </si>
  <si>
    <t xml:space="preserve">Inner West 10th Birthday</t>
  </si>
  <si>
    <t xml:space="preserve">Sydney Boys High, Sydney</t>
  </si>
  <si>
    <t xml:space="preserve">Inner West Roller Derby League</t>
  </si>
  <si>
    <t xml:space="preserve">Northern Beaches Roller Derby League</t>
  </si>
  <si>
    <t xml:space="preserve">Ritual Ideas</t>
  </si>
  <si>
    <t xml:space="preserve">Joint PT/LT position</t>
  </si>
  <si>
    <t xml:space="preserve">The Spanish Inquisition</t>
  </si>
  <si>
    <t xml:space="preserve">Windsor, NSW</t>
  </si>
  <si>
    <t xml:space="preserve">Central Coast Roller Derby League / S2D2</t>
  </si>
  <si>
    <t xml:space="preserve">Clareful Consideration</t>
  </si>
  <si>
    <t xml:space="preserve">Bellows</t>
  </si>
  <si>
    <t xml:space="preserve">Canberra Roller Derby League / Varsity Roller Derby League</t>
  </si>
  <si>
    <t xml:space="preserve">Jim Peccable</t>
  </si>
  <si>
    <t xml:space="preserve">Leo Slayer</t>
  </si>
  <si>
    <t xml:space="preserve">Jurassic Packs</t>
  </si>
  <si>
    <t xml:space="preserve">Bass Hill Velodrome, Sydney</t>
  </si>
  <si>
    <t xml:space="preserve">Sydney Roller Derby League</t>
  </si>
  <si>
    <t xml:space="preserve">Potluck</t>
  </si>
  <si>
    <t xml:space="preserve">Denominator</t>
  </si>
  <si>
    <t xml:space="preserve">Nasty Surprise</t>
  </si>
  <si>
    <t xml:space="preserve">Bass Hill Velodrome, Sydney Australia</t>
  </si>
  <si>
    <t xml:space="preserve">Bones</t>
  </si>
  <si>
    <t xml:space="preserve">Sparkles</t>
  </si>
  <si>
    <t xml:space="preserve">Pride Fight</t>
  </si>
  <si>
    <t xml:space="preserve">Sydney</t>
  </si>
  <si>
    <t xml:space="preserve">Rainbows</t>
  </si>
  <si>
    <t xml:space="preserve">Butch</t>
  </si>
  <si>
    <t xml:space="preserve">Femme</t>
  </si>
  <si>
    <t xml:space="preserve">Northern Rivers Revolt</t>
  </si>
  <si>
    <t xml:space="preserve">Byron Bay, Australia</t>
  </si>
  <si>
    <t xml:space="preserve">Tweed Valley Rollers</t>
  </si>
  <si>
    <t xml:space="preserve">Brisbane City Rollers (Red Kennedys)</t>
  </si>
  <si>
    <t xml:space="preserve">Sydney Roller Derby League (Snipers)</t>
  </si>
  <si>
    <t xml:space="preserve">Northern Beaches (Sirens)</t>
  </si>
  <si>
    <t xml:space="preserve">Van Diemens</t>
  </si>
  <si>
    <t xml:space="preserve">South Seas Roller Derby (Banshees)</t>
  </si>
  <si>
    <t xml:space="preserve">Northern Beaches Roller Derby (Sirens)</t>
  </si>
  <si>
    <t xml:space="preserve">River Valley Rollers</t>
  </si>
  <si>
    <t xml:space="preserve">Northern Beaches Roller Derby </t>
  </si>
  <si>
    <t xml:space="preserve">Sydney, Australia</t>
  </si>
  <si>
    <t xml:space="preserve">Newcastle, Australia</t>
  </si>
  <si>
    <t xml:space="preserve">Newcastle Roller Derby League</t>
  </si>
  <si>
    <t xml:space="preserve">Inner West Roller Derby League B</t>
  </si>
  <si>
    <t xml:space="preserve">Western Sydney Rollers / South Side Derby</t>
  </si>
  <si>
    <t xml:space="preserve">Vengeful Vixen</t>
  </si>
  <si>
    <t xml:space="preserve">Seath Lord</t>
  </si>
  <si>
    <t xml:space="preserve">Maitland Roller Derby League</t>
  </si>
  <si>
    <t xml:space="preserve">Varsity Derby League</t>
  </si>
  <si>
    <t xml:space="preserve">2023-07-01</t>
  </si>
  <si>
    <t xml:space="preserve">ERRD Smackdown Tournament 2023</t>
  </si>
  <si>
    <t xml:space="preserve">PCYC Hawkesbury - Sydney, Australia</t>
  </si>
  <si>
    <t xml:space="preserve">Western Sydney Rollers</t>
  </si>
  <si>
    <t xml:space="preserve">CRASH Mixed Gender Roller Derby - The Ultimate Incredibles</t>
  </si>
  <si>
    <t xml:space="preserve">Toowoomba City Rollers - Quad Squad</t>
  </si>
  <si>
    <t xml:space="preserve">Body BagHer</t>
  </si>
  <si>
    <t xml:space="preserve">THR - John Ref. Kennedy / THNSO - Switzerland</t>
  </si>
  <si>
    <t xml:space="preserve">Northern Beaches Roller Derby League - Sirens</t>
  </si>
  <si>
    <t xml:space="preserve">Sydney Roller Derby League - Velociraptors</t>
  </si>
  <si>
    <t xml:space="preserve">Newcastle Roller Derby League - Dockyard Dames</t>
  </si>
  <si>
    <t xml:space="preserve">Eastern Region Roller Derby - ERRaDicators</t>
  </si>
  <si>
    <t xml:space="preserve">Inner West Roller Derby League - Bamshees</t>
  </si>
  <si>
    <t xml:space="preserve">Switzerland</t>
  </si>
  <si>
    <t xml:space="preserve">Newcastle Junior Roller Derby - The Combos</t>
  </si>
  <si>
    <t xml:space="preserve">Toowoomba City Rollers - Range Rascals</t>
  </si>
  <si>
    <t xml:space="preserve">Vixen</t>
  </si>
  <si>
    <t xml:space="preserve">Juniors Game, Level 4</t>
  </si>
  <si>
    <t xml:space="preserve">Wollongong Illawarra Roller Derby League - Steel City Derby Dolls</t>
  </si>
  <si>
    <t xml:space="preserve">Central Coast Roller Derby United - Asgardians</t>
  </si>
  <si>
    <t xml:space="preserve">2023-07-02</t>
  </si>
  <si>
    <t xml:space="preserve">Inner West Roller Derby League - Skatecrashers</t>
  </si>
  <si>
    <t xml:space="preserve">Canberra Roller Derby League - Vice City Rollers</t>
  </si>
  <si>
    <t xml:space="preserve">Spanish Inquisition</t>
  </si>
  <si>
    <t xml:space="preserve">Dinotello TR2</t>
  </si>
  <si>
    <t xml:space="preserve">2024-07-23</t>
  </si>
  <si>
    <t xml:space="preserve">Fundays Round 1 2023</t>
  </si>
  <si>
    <t xml:space="preserve">Dunc Gray Velodrome, Bass Hill NSW, Australia</t>
  </si>
  <si>
    <t xml:space="preserve">The Young and the Rest of Us</t>
  </si>
  <si>
    <t xml:space="preserve">Baby got Back Blocks</t>
  </si>
  <si>
    <t xml:space="preserve">Snarls Dickens</t>
  </si>
  <si>
    <t xml:space="preserve">Even Stephen</t>
  </si>
  <si>
    <t xml:space="preserve">Sydney Roller Derby League (</t>
  </si>
  <si>
    <t xml:space="preserve">Fundays Round 2 2023</t>
  </si>
  <si>
    <t xml:space="preserve">A League of their Bones</t>
  </si>
  <si>
    <t xml:space="preserve">Denman Prospect, ACT</t>
  </si>
  <si>
    <t xml:space="preserve">Varsity Roller Derby League</t>
  </si>
  <si>
    <t xml:space="preserve">Western Sydney Rollers / South Side Derby League</t>
  </si>
  <si>
    <t xml:space="preserve">Roller Derby Extravaganza 2024</t>
  </si>
  <si>
    <t xml:space="preserve">Drag Queens</t>
  </si>
  <si>
    <t xml:space="preserve">Drag Kings</t>
  </si>
  <si>
    <t xml:space="preserve">Coastal All Stars</t>
  </si>
  <si>
    <t xml:space="preserve">Country All Stars</t>
  </si>
  <si>
    <t xml:space="preserve">Fundays Round 3 2023</t>
  </si>
  <si>
    <t xml:space="preserve">2024-03-29</t>
  </si>
  <si>
    <t xml:space="preserve">Get Sanctioned Eggstravaganza 2024</t>
  </si>
  <si>
    <t xml:space="preserve">Convict City Rollers Orange Thunder</t>
  </si>
  <si>
    <t xml:space="preserve">Canberra Roller Derby League Vice City Rollers</t>
  </si>
  <si>
    <t xml:space="preserve">Honey Badger</t>
  </si>
  <si>
    <t xml:space="preserve">Connie</t>
  </si>
  <si>
    <t xml:space="preserve">Sláine (THR), Menace (THR), Frank N Hurter (THNSO), Seath Lord (THNSO)</t>
  </si>
  <si>
    <t xml:space="preserve">Pirate City Rollers Union</t>
  </si>
  <si>
    <t xml:space="preserve">South Sea Roller Derby Banshees</t>
  </si>
  <si>
    <t xml:space="preserve">Newcastle Roller Derby League Dockyard Dames</t>
  </si>
  <si>
    <t xml:space="preserve">Mental Case</t>
  </si>
  <si>
    <t xml:space="preserve">2024-03-30</t>
  </si>
  <si>
    <t xml:space="preserve">Vector</t>
  </si>
  <si>
    <t xml:space="preserve">Sydney Roller Derby League </t>
  </si>
  <si>
    <t xml:space="preserve">2024-03-31</t>
  </si>
  <si>
    <t xml:space="preserve">WSR Family and Friends</t>
  </si>
  <si>
    <t xml:space="preserve">Penrith Valley Sports Center, Sydney, Australia</t>
  </si>
  <si>
    <t xml:space="preserve">The Barbies</t>
  </si>
  <si>
    <t xml:space="preserve">The Swifties</t>
  </si>
  <si>
    <t xml:space="preserve">5x5 Round 1 2024</t>
  </si>
  <si>
    <t xml:space="preserve">PCYC Northern Beaches</t>
  </si>
  <si>
    <t xml:space="preserve">Maitland Roller Derby Jailbreakers</t>
  </si>
  <si>
    <t xml:space="preserve">Clare Rool</t>
  </si>
  <si>
    <t xml:space="preserve">Northern Beaches Roller Derby League – Sirens</t>
  </si>
  <si>
    <t xml:space="preserve">Inner West Roller Derby League – Bamshees</t>
  </si>
  <si>
    <t xml:space="preserve">5x5 Round 2 2024</t>
  </si>
  <si>
    <t xml:space="preserve">Western Sydney Rollers / New England Roller Derby League</t>
  </si>
  <si>
    <t xml:space="preserve">2024-06-08</t>
  </si>
  <si>
    <t xml:space="preserve">The Great Southern Slam 2024</t>
  </si>
  <si>
    <t xml:space="preserve">Adelaide Showgrounds, Adelaide, Australia</t>
  </si>
  <si>
    <t xml:space="preserve">Adelaide Roller Derby</t>
  </si>
  <si>
    <t xml:space="preserve">South Central Roller Derby</t>
  </si>
  <si>
    <t xml:space="preserve">Diamond Vlley's Diamond Firetails</t>
  </si>
  <si>
    <t xml:space="preserve">Sláine, Spanners (THR) / Connie, Seath Lord (THNSO)</t>
  </si>
  <si>
    <t xml:space="preserve">Auckland Roller Derby's Auckland Bolts</t>
  </si>
  <si>
    <t xml:space="preserve">Adelaide Roller Derby's Rads</t>
  </si>
  <si>
    <t xml:space="preserve">Bullseye</t>
  </si>
  <si>
    <t xml:space="preserve">WestSide Roller Derby's Glory</t>
  </si>
  <si>
    <t xml:space="preserve">Van Diemen Rollers</t>
  </si>
  <si>
    <t xml:space="preserve">Brisbane City Rollers' Punk Blockers</t>
  </si>
  <si>
    <t xml:space="preserve">Sydney Roller Derby's As</t>
  </si>
  <si>
    <t xml:space="preserve">2024-06-09</t>
  </si>
  <si>
    <t xml:space="preserve">South Sea's Sirens</t>
  </si>
  <si>
    <t xml:space="preserve">Canberra's Vice City Rollers</t>
  </si>
  <si>
    <t xml:space="preserve">Victorian Roller Derby's All Stars</t>
  </si>
  <si>
    <t xml:space="preserve">Perth Roller Derby's West Coast Evils</t>
  </si>
  <si>
    <t xml:space="preserve">Convict City's Orange Thunder</t>
  </si>
  <si>
    <t xml:space="preserve">Glitterbiscuit</t>
  </si>
  <si>
    <t xml:space="preserve">2024-06-10</t>
  </si>
  <si>
    <t xml:space="preserve">Pivot City Ranges</t>
  </si>
  <si>
    <t xml:space="preserve">Dragon City's The Chiko Rollers</t>
  </si>
  <si>
    <t xml:space="preserve">Dude'll</t>
  </si>
  <si>
    <t xml:space="preserve">South Sea's Banshees</t>
  </si>
  <si>
    <t xml:space="preserve">2024-14-07</t>
  </si>
  <si>
    <t xml:space="preserve">5x5 Round 3 2024</t>
  </si>
  <si>
    <t xml:space="preserve">Wollongong Illawarra Roller Derby</t>
  </si>
  <si>
    <t xml:space="preserve">Clare</t>
  </si>
  <si>
    <t xml:space="preserve">Tinker-Belt-Her</t>
  </si>
  <si>
    <t xml:space="preserve">5x5 Round 4 2024</t>
  </si>
  <si>
    <t xml:space="preserve">Niagra Park Stadium</t>
  </si>
  <si>
    <t xml:space="preserve">5x5 Prelim Finals 2024</t>
  </si>
  <si>
    <t xml:space="preserve">Northern Beaches Roller Derby League </t>
  </si>
  <si>
    <t xml:space="preserve">Mr Grump</t>
  </si>
  <si>
    <t xml:space="preserve">Rawn Bear</t>
  </si>
  <si>
    <t xml:space="preserve">2024-10-05</t>
  </si>
  <si>
    <t xml:space="preserve">Tropicarnage Cup 2024</t>
  </si>
  <si>
    <t xml:space="preserve">Mount Warren Indoor Sports Centre, Mount Warren Park, Australia</t>
  </si>
  <si>
    <t xml:space="preserve">Queensland Roller Derby League</t>
  </si>
  <si>
    <t xml:space="preserve">Coastal Assassins Roller Derby Assassins</t>
  </si>
  <si>
    <t xml:space="preserve">Rockabellas Roller Derby League The Bellas</t>
  </si>
  <si>
    <t xml:space="preserve">Sharky</t>
  </si>
  <si>
    <t xml:space="preserve">THR Menace // THNSO Ruby Soho</t>
  </si>
  <si>
    <t xml:space="preserve">Sydney Roller Derby League - Sydney</t>
  </si>
  <si>
    <t xml:space="preserve">Brisbane City Rollers Red Kennedys</t>
  </si>
  <si>
    <t xml:space="preserve">Victorian Roller Derby League Thunder</t>
  </si>
  <si>
    <t xml:space="preserve">2024-10-06</t>
  </si>
  <si>
    <t xml:space="preserve">South Seas Roller Derby Sirens</t>
  </si>
  <si>
    <t xml:space="preserve">Sun State Roller Derby Swarm</t>
  </si>
  <si>
    <t xml:space="preserve">2024-10-07</t>
  </si>
  <si>
    <t xml:space="preserve">Sulphur City Steam Rollers The Runaways</t>
  </si>
  <si>
    <t xml:space="preserve">Dead End Derby Living Dead Stars</t>
  </si>
  <si>
    <t xml:space="preserve">Inner West Roller Derby League Skatecrashers</t>
  </si>
  <si>
    <t xml:space="preserve">Meekeighlah</t>
  </si>
  <si>
    <t xml:space="preserve">5x5 Grand Finals 2024</t>
  </si>
  <si>
    <t xml:space="preserve">Central Coast Roller Derby United</t>
  </si>
  <si>
    <t xml:space="preserve">Central Coast Roller Derby United – Asgardians</t>
  </si>
  <si>
    <t xml:space="preserve">WSR Halloween Bout 2024</t>
  </si>
  <si>
    <t xml:space="preserve">Frankenstein’s Blockers</t>
  </si>
  <si>
    <t xml:space="preserve">Deadset Mummies</t>
  </si>
  <si>
    <t xml:space="preserve">Regional Redemption 2024</t>
  </si>
  <si>
    <t xml:space="preserve">Country Bumpkins</t>
  </si>
  <si>
    <t xml:space="preserve">City Slickers</t>
  </si>
  <si>
    <t xml:space="preserve"> Fun Days Round 1 2024</t>
  </si>
  <si>
    <t xml:space="preserve"> Sydney Roller Derby League</t>
  </si>
  <si>
    <t xml:space="preserve"> Smells Like Clean Padding</t>
  </si>
  <si>
    <t xml:space="preserve"> I Like Big Bouts and I Cannot Lie</t>
  </si>
  <si>
    <t xml:space="preserve"> WFTDA</t>
  </si>
  <si>
    <t xml:space="preserve"> Other</t>
  </si>
  <si>
    <t xml:space="preserve"> JR</t>
  </si>
  <si>
    <t xml:space="preserve"> </t>
  </si>
  <si>
    <t xml:space="preserve"> The Spanish Inquisition</t>
  </si>
  <si>
    <t xml:space="preserve"> Ritual Ideas</t>
  </si>
  <si>
    <t xml:space="preserve"> Fun Days Round 2 2024</t>
  </si>
  <si>
    <t xml:space="preserve"> The Bold and the Bootyful</t>
  </si>
  <si>
    <t xml:space="preserve"> IPR</t>
  </si>
  <si>
    <t xml:space="preserve"> Candy Striper</t>
  </si>
  <si>
    <t xml:space="preserve"> Statisfaction</t>
  </si>
  <si>
    <t xml:space="preserve"> Fun Days Round 3 2024</t>
  </si>
  <si>
    <t xml:space="preserve"> Fundercats 2: Electric Boogaloo</t>
  </si>
  <si>
    <t xml:space="preserve"> SK</t>
  </si>
  <si>
    <t xml:space="preserve"> John Ref Kennedy</t>
  </si>
  <si>
    <t xml:space="preserve"> Snarls Dickens</t>
  </si>
  <si>
    <t xml:space="preserve">2025-03-09</t>
  </si>
  <si>
    <t xml:space="preserve">East Coast Clash 2025</t>
  </si>
  <si>
    <t xml:space="preserve">Darebin Community Sports Stadium, Reservoir, Australia</t>
  </si>
  <si>
    <t xml:space="preserve">Ballarat Roller Derby League</t>
  </si>
  <si>
    <t xml:space="preserve">Geelong Roller Derby: Bloody Marys</t>
  </si>
  <si>
    <t xml:space="preserve">Kingston City Rollers: Royals</t>
  </si>
  <si>
    <t xml:space="preserve">THR Frank N Hurter // THR Spanners // THNSO BustaHammy // THNSO Menace | 3 Day Event, 24 Total Games</t>
  </si>
  <si>
    <t xml:space="preserve">Brisbane City Rollers: Hitsquad</t>
  </si>
  <si>
    <t xml:space="preserve">Light City Derby: Sabres</t>
  </si>
  <si>
    <t xml:space="preserve">Slackerjack</t>
  </si>
  <si>
    <t xml:space="preserve">Muggles</t>
  </si>
  <si>
    <t xml:space="preserve">2025-03-10</t>
  </si>
  <si>
    <t xml:space="preserve">East Vic Roller Derby: The Witches</t>
  </si>
  <si>
    <t xml:space="preserve">Team Regional Victoria</t>
  </si>
  <si>
    <t xml:space="preserve">Convict City Rollers: Orange Thunder</t>
  </si>
  <si>
    <t xml:space="preserve">West Side Roller Derby: Glory</t>
  </si>
  <si>
    <t xml:space="preserve">Scrapple Pie</t>
  </si>
  <si>
    <t xml:space="preserve">Ballarat Roller Derby League: Ratpack</t>
  </si>
  <si>
    <t xml:space="preserve">NickerBocker</t>
  </si>
  <si>
    <t xml:space="preserve">2025-03-22</t>
  </si>
  <si>
    <t xml:space="preserve">Northern Rivers Revolt 2025</t>
  </si>
  <si>
    <t xml:space="preserve">Cavanbah Centre, Byron Bay, Australia</t>
  </si>
  <si>
    <t xml:space="preserve">Northern Rivers Roller Derby/Tweed Valley Rollers</t>
  </si>
  <si>
    <t xml:space="preserve">Convict City Rollers - Black Lightning</t>
  </si>
  <si>
    <t xml:space="preserve">Geelong Roller Derby - Bloody Marys</t>
  </si>
  <si>
    <t xml:space="preserve">Spanners</t>
  </si>
  <si>
    <t xml:space="preserve">Ruby</t>
  </si>
  <si>
    <t xml:space="preserve">THR Honey Badger // THNSO Mercy | 2 Day Event, 16 Total Games 20 minute periods 5 penalties per skater</t>
  </si>
  <si>
    <t xml:space="preserve">Pirate City Rollers/Auckland Roller Derby League - BayBlades</t>
  </si>
  <si>
    <t xml:space="preserve">Team RAD</t>
  </si>
  <si>
    <t xml:space="preserve">Brisbane City Rollers - Rahmones</t>
  </si>
  <si>
    <t xml:space="preserve">2025-03-23</t>
  </si>
  <si>
    <t xml:space="preserve">Convict City Rollers- Black Lightning</t>
  </si>
  <si>
    <t xml:space="preserve">Tweed Valley Rollers/Northern Rivers Roller Derby - River Valley Rollers</t>
  </si>
  <si>
    <t xml:space="preserve">Pirate City Rollers/Auckland Roller Derby League - Bayblades</t>
  </si>
  <si>
    <t xml:space="preserve">2025-04-12</t>
  </si>
  <si>
    <t xml:space="preserve">NSW / ACT Roller Derby Championships Round 1 2025</t>
  </si>
  <si>
    <t xml:space="preserve">2025-04-19</t>
  </si>
  <si>
    <t xml:space="preserve">Get Sanctioned EGGstravaganza 2025</t>
  </si>
  <si>
    <t xml:space="preserve">Menai Indoor Sports Centre, Menai NSW</t>
  </si>
  <si>
    <t xml:space="preserve">Brisbane City Rollers, Red Kennedys</t>
  </si>
  <si>
    <t xml:space="preserve">Inner West Roller Derby League, the Skatecrashers</t>
  </si>
  <si>
    <t xml:space="preserve">Sláine, Mr Grump (THR) / Spanners, Muggles (THNSO) / Killa Tits (ATHR)</t>
  </si>
  <si>
    <t xml:space="preserve">2025-04-20</t>
  </si>
  <si>
    <t xml:space="preserve">Sydney Roller Derby League, the Assassins</t>
  </si>
  <si>
    <t xml:space="preserve">Canberra Roller Derby League, the Vice City Rollers</t>
  </si>
  <si>
    <t xml:space="preserve">2025-04-21</t>
  </si>
  <si>
    <t xml:space="preserve">South Sea Roller Derby, Banshees</t>
  </si>
  <si>
    <t xml:space="preserve">2025-04-26</t>
  </si>
  <si>
    <t xml:space="preserve">5x5 Round 2 2025</t>
  </si>
  <si>
    <t xml:space="preserve">Wollongong Illawarra Roller Derby / Maitland Roller Derby </t>
  </si>
  <si>
    <t xml:space="preserve">Killa Tits</t>
  </si>
  <si>
    <t xml:space="preserve">Messy</t>
  </si>
  <si>
    <t xml:space="preserve">2025-05-18</t>
  </si>
  <si>
    <t xml:space="preserve">SRDL Pride Fight 2025</t>
  </si>
  <si>
    <t xml:space="preserve">2025-05-25</t>
  </si>
  <si>
    <t xml:space="preserve">5x5 Round 3 2025</t>
  </si>
  <si>
    <t xml:space="preserve">Hawksbury PCYC</t>
  </si>
  <si>
    <t xml:space="preserve">Wollongong Illawara Roller Derby / Maitland Roller Derby</t>
  </si>
  <si>
    <t xml:space="preserve">Central Coast Roller Derby United / South Side Roller Derby</t>
  </si>
  <si>
    <t xml:space="preserve">Sydney Roller Derby League B</t>
  </si>
  <si>
    <t xml:space="preserve">Horror</t>
  </si>
  <si>
    <t xml:space="preserve">2025-05-31</t>
  </si>
  <si>
    <t xml:space="preserve">Canberra Home Teams</t>
  </si>
  <si>
    <t xml:space="preserve">Evelyn Scott School, Canberra</t>
  </si>
  <si>
    <t xml:space="preserve">Canberra Roller Derby League</t>
  </si>
  <si>
    <t xml:space="preserve">Canberra Roller Derby League </t>
  </si>
  <si>
    <t xml:space="preserve">NSW / ACT Roller Derby Championships Round 2 2025</t>
  </si>
  <si>
    <t xml:space="preserve">Sydney Roller Derby</t>
  </si>
  <si>
    <t xml:space="preserve">Simon Chambers</t>
  </si>
  <si>
    <t xml:space="preserve">5x5 Round 4 2025</t>
  </si>
  <si>
    <t xml:space="preserve">Coch Less Monster</t>
  </si>
  <si>
    <t xml:space="preserve">5x5 Prelim Finals 2025</t>
  </si>
  <si>
    <t xml:space="preserve">4/10/2025</t>
  </si>
  <si>
    <t xml:space="preserve">Tropicarnage Cup 2025</t>
  </si>
  <si>
    <t xml:space="preserve">Brisbane City Rollers - Punk Blockers</t>
  </si>
  <si>
    <t xml:space="preserve">South Seas Roller Derby - Sirens</t>
  </si>
  <si>
    <t xml:space="preserve">Sudo Stripes</t>
  </si>
  <si>
    <t xml:space="preserve">Mercy</t>
  </si>
  <si>
    <t xml:space="preserve">THR: Denominator; THNSOs: Ruby Soho</t>
  </si>
  <si>
    <t xml:space="preserve">Richter City Roller Derby - A Team</t>
  </si>
  <si>
    <t xml:space="preserve">Victorian Roller Derby League - Thunder</t>
  </si>
  <si>
    <t xml:space="preserve">Western Austrlia Roller Derby - Wards of the Skate</t>
  </si>
  <si>
    <t xml:space="preserve">Regional Alliance Derby - Team RAD</t>
  </si>
  <si>
    <t xml:space="preserve">Menace</t>
  </si>
  <si>
    <t xml:space="preserve">5/10/2025</t>
  </si>
  <si>
    <t xml:space="preserve">Convict City Rollers - Orange Thunder</t>
  </si>
  <si>
    <t xml:space="preserve">Sydney Roller Derby League - Sydney Roller Derby</t>
  </si>
  <si>
    <t xml:space="preserve">Varsity Derby League - Varsity</t>
  </si>
  <si>
    <t xml:space="preserve">6/10/2025</t>
  </si>
  <si>
    <t xml:space="preserve">Coastal Assassins Roller Derby - Assassins</t>
  </si>
  <si>
    <t xml:space="preserve">NSW / ACT Roller Derby Championships Finals</t>
  </si>
  <si>
    <t xml:space="preserve">Inner West Roller Derby League Bamshees</t>
  </si>
  <si>
    <t xml:space="preserve">5x5 Finals 2025</t>
  </si>
  <si>
    <t xml:space="preserve">Northern Beaches PCYC</t>
  </si>
  <si>
    <t xml:space="preserve">Wollongong Illawarra Roller Derby League / Maitland Roller Derby</t>
  </si>
  <si>
    <t xml:space="preserve">Fright Fight 2025</t>
  </si>
  <si>
    <t xml:space="preserve">Spiders</t>
  </si>
  <si>
    <t xml:space="preserve">Witches</t>
  </si>
  <si>
    <t xml:space="preserve">WSR Halloween Bout 2025</t>
  </si>
  <si>
    <t xml:space="preserve">Mini Monsters</t>
  </si>
  <si>
    <t xml:space="preserve">Baby Banshees</t>
  </si>
  <si>
    <t xml:space="preserve">Sideshow Slammers</t>
  </si>
  <si>
    <t xml:space="preserve">Covern Crushers</t>
  </si>
  <si>
    <t xml:space="preserve">Candy Striper</t>
  </si>
  <si>
    <t xml:space="preserve">2026-03-21</t>
  </si>
  <si>
    <t xml:space="preserve">Northern Rivers Revolt 2026</t>
  </si>
  <si>
    <t xml:space="preserve">River Valley Rollers </t>
  </si>
  <si>
    <t xml:space="preserve">Ruby Soho</t>
  </si>
  <si>
    <t xml:space="preserve">Canberra Roller Derby League - Capital Brawlers</t>
  </si>
  <si>
    <t xml:space="preserve">Inner West Roller Derby - Bamshees</t>
  </si>
  <si>
    <t xml:space="preserve">Mackay City Rollers</t>
  </si>
  <si>
    <t xml:space="preserve">2026-03-22</t>
  </si>
  <si>
    <t xml:space="preserve">West Side Roller Derby - Bestside</t>
  </si>
  <si>
    <t xml:space="preserve">2025-05-23</t>
  </si>
  <si>
    <t xml:space="preserve">5x5 Round 2 2026</t>
  </si>
  <si>
    <t xml:space="preserve">Mushy</t>
  </si>
  <si>
    <t xml:space="preserve">clare rool (co-THR) Killa Tits (co-THR) Spanners (THNSO) Mr Tits (ATHNSO) // 7 rounds over 7 months, 21 games total, WFTDA division and Open Division</t>
  </si>
  <si>
    <t xml:space="preserve">Inner West Roller Derby B</t>
  </si>
  <si>
    <t xml:space="preserve">Makita</t>
  </si>
  <si>
    <t xml:space="preserve">2026-06-08</t>
  </si>
  <si>
    <t xml:space="preserve">The Great Southern Slam 2026</t>
  </si>
  <si>
    <t xml:space="preserve">Victorian Roller Derby League Comets</t>
  </si>
  <si>
    <t xml:space="preserve">Geelong Roller Derby League Bloody Marys</t>
  </si>
  <si>
    <t xml:space="preserve">DUDE’ll</t>
  </si>
  <si>
    <t xml:space="preserve">Sláine, Sudo Stripes (THR) / Ruby Soho (THNSO) / Hellsa, Darn Tootin' (aTHNSO) / Seath Lord (GTO)</t>
  </si>
  <si>
    <t xml:space="preserve">Tweed Valley Rollers Valkyries</t>
  </si>
  <si>
    <t xml:space="preserve">2026-06-07</t>
  </si>
  <si>
    <t xml:space="preserve">Geelong Roller Derby Bloody Marys</t>
  </si>
  <si>
    <t xml:space="preserve">EastVic Roller Derby Witches of EastVic</t>
  </si>
  <si>
    <t xml:space="preserve">Fowl'D Out</t>
  </si>
  <si>
    <t xml:space="preserve">Mystr Fox</t>
  </si>
  <si>
    <t xml:space="preserve">Northern Beaches Roller Derby League Sirens </t>
  </si>
  <si>
    <t xml:space="preserve">Team Potluck</t>
  </si>
  <si>
    <t xml:space="preserve">East Vic Roller Derby Witches of East Vic</t>
  </si>
  <si>
    <t xml:space="preserve">Gippsland, South Sea &amp; Salty Beaches South East Alliance</t>
  </si>
  <si>
    <t xml:space="preserve">2026-06-06</t>
  </si>
  <si>
    <t xml:space="preserve">Wollongong Illawarra Roller Derby &amp; Maitland Weird Spuds</t>
  </si>
  <si>
    <t xml:space="preserve">Blue Mountains Roller Derby League The Free Sisters</t>
  </si>
  <si>
    <t xml:space="preserve">Annual Totals by Position</t>
  </si>
  <si>
    <t xml:space="preserve">WFTDA Referee</t>
  </si>
  <si>
    <t xml:space="preserve">1 YEAR</t>
  </si>
  <si>
    <t xml:space="preserve">Total</t>
  </si>
  <si>
    <t xml:space="preserve">18 MONTHS</t>
  </si>
  <si>
    <t xml:space="preserve">ALT</t>
  </si>
  <si>
    <t xml:space="preserve">Total*</t>
  </si>
  <si>
    <t xml:space="preserve">WFTDA Non-Skating Official</t>
  </si>
  <si>
    <t xml:space="preserve">Operator</t>
  </si>
  <si>
    <t xml:space="preserve">Positional Family Totals (1 Year)</t>
  </si>
  <si>
    <t xml:space="preserve">Positional Family Totals (18 MONTHS)</t>
  </si>
  <si>
    <t xml:space="preserve">Penalty Tracking</t>
  </si>
  <si>
    <t xml:space="preserve">Scoring and Timing</t>
  </si>
  <si>
    <t xml:space="preserve">Penalty Management</t>
  </si>
  <si>
    <t xml:space="preserve">MRDA Referee</t>
  </si>
  <si>
    <t xml:space="preserve">2 YEARS</t>
  </si>
  <si>
    <t xml:space="preserve">MRDA Non-Skating Official</t>
  </si>
  <si>
    <t xml:space="preserve">Scoring &amp; Timing</t>
  </si>
  <si>
    <t xml:space="preserve">ALL OTHER DERBY</t>
  </si>
  <si>
    <t xml:space="preserve">All Other Officiating Clinics Attended</t>
  </si>
  <si>
    <t xml:space="preserve">All Other Games Totals</t>
  </si>
  <si>
    <t xml:space="preserve">Other Officiating Game and Position History</t>
  </si>
  <si>
    <t xml:space="preserve">Home Team</t>
  </si>
  <si>
    <t xml:space="preserve">Visiting Team</t>
  </si>
  <si>
    <t xml:space="preserve">Rules</t>
  </si>
  <si>
    <t xml:space="preserve">HO 2nd Position (if applicable)</t>
  </si>
</sst>
</file>

<file path=xl/styles.xml><?xml version="1.0" encoding="utf-8"?>
<styleSheet xmlns="http://schemas.openxmlformats.org/spreadsheetml/2006/main">
  <numFmts count="4">
    <numFmt numFmtId="164" formatCode="General"/>
    <numFmt numFmtId="165" formatCode="yyyy\-mm\-dd"/>
    <numFmt numFmtId="166" formatCode="m/d/yyyy\ h:mm:ss"/>
    <numFmt numFmtId="167" formatCode="@"/>
  </numFmts>
  <fonts count="44">
    <font>
      <sz val="10"/>
      <color rgb="FF000000"/>
      <name val="Arial"/>
      <family val="0"/>
      <charset val="1"/>
    </font>
    <font>
      <sz val="10"/>
      <name val="Arial"/>
      <family val="0"/>
    </font>
    <font>
      <sz val="10"/>
      <name val="Arial"/>
      <family val="0"/>
    </font>
    <font>
      <sz val="10"/>
      <name val="Arial"/>
      <family val="0"/>
    </font>
    <font>
      <sz val="36"/>
      <color rgb="FF000000"/>
      <name val="Times New Roman"/>
      <family val="0"/>
      <charset val="1"/>
    </font>
    <font>
      <sz val="36"/>
      <color rgb="FF000000"/>
      <name val="Cambria"/>
      <family val="0"/>
      <charset val="1"/>
    </font>
    <font>
      <sz val="36"/>
      <name val="Cambria"/>
      <family val="0"/>
      <charset val="1"/>
    </font>
    <font>
      <b val="true"/>
      <sz val="11"/>
      <name val="Cambria"/>
      <family val="0"/>
      <charset val="1"/>
    </font>
    <font>
      <b val="true"/>
      <sz val="12"/>
      <color rgb="FF000000"/>
      <name val="Cambria"/>
      <family val="0"/>
      <charset val="1"/>
    </font>
    <font>
      <b val="true"/>
      <u val="single"/>
      <sz val="12"/>
      <color rgb="FF3F3F3F"/>
      <name val="Cambria"/>
      <family val="0"/>
      <charset val="1"/>
    </font>
    <font>
      <sz val="10"/>
      <color rgb="FF000000"/>
      <name val="Cambria"/>
      <family val="0"/>
      <charset val="1"/>
    </font>
    <font>
      <i val="true"/>
      <sz val="11"/>
      <name val="Cambria"/>
      <family val="0"/>
      <charset val="1"/>
    </font>
    <font>
      <b val="true"/>
      <sz val="10"/>
      <color rgb="FF000000"/>
      <name val="Cambria"/>
      <family val="0"/>
      <charset val="1"/>
    </font>
    <font>
      <b val="true"/>
      <i val="true"/>
      <sz val="10"/>
      <color rgb="FF000000"/>
      <name val="Cambria"/>
      <family val="0"/>
      <charset val="1"/>
    </font>
    <font>
      <sz val="10"/>
      <color rgb="FFFF0000"/>
      <name val="Arial"/>
      <family val="0"/>
      <charset val="1"/>
    </font>
    <font>
      <i val="true"/>
      <sz val="10"/>
      <color rgb="FF000000"/>
      <name val="Cambria"/>
      <family val="0"/>
      <charset val="1"/>
    </font>
    <font>
      <i val="true"/>
      <sz val="10"/>
      <name val="Cambria"/>
      <family val="0"/>
      <charset val="1"/>
    </font>
    <font>
      <sz val="10"/>
      <name val="Cambria"/>
      <family val="0"/>
      <charset val="1"/>
    </font>
    <font>
      <b val="true"/>
      <sz val="10"/>
      <color rgb="FF3F3F3F"/>
      <name val="Arial"/>
      <family val="0"/>
      <charset val="1"/>
    </font>
    <font>
      <b val="true"/>
      <sz val="11"/>
      <color rgb="FF000000"/>
      <name val="Cambria"/>
      <family val="0"/>
      <charset val="1"/>
    </font>
    <font>
      <u val="single"/>
      <sz val="10"/>
      <color rgb="FF000000"/>
      <name val="Cambria"/>
      <family val="0"/>
      <charset val="1"/>
    </font>
    <font>
      <sz val="8"/>
      <name val="Cambria"/>
      <family val="0"/>
      <charset val="1"/>
    </font>
    <font>
      <b val="true"/>
      <sz val="8"/>
      <name val="Cambria"/>
      <family val="0"/>
      <charset val="1"/>
    </font>
    <font>
      <b val="true"/>
      <sz val="8"/>
      <color rgb="FFFFFFFF"/>
      <name val="Cambria"/>
      <family val="0"/>
      <charset val="1"/>
    </font>
    <font>
      <sz val="32"/>
      <color rgb="FF000000"/>
      <name val="Times New Roman"/>
      <family val="0"/>
      <charset val="1"/>
    </font>
    <font>
      <sz val="36"/>
      <color rgb="FF000000"/>
      <name val="Arial"/>
      <family val="0"/>
      <charset val="1"/>
    </font>
    <font>
      <b val="true"/>
      <sz val="8"/>
      <color rgb="FF000000"/>
      <name val="Cambria"/>
      <family val="0"/>
      <charset val="1"/>
    </font>
    <font>
      <b val="true"/>
      <sz val="9"/>
      <color rgb="FF000000"/>
      <name val="Cambria"/>
      <family val="0"/>
      <charset val="1"/>
    </font>
    <font>
      <sz val="6"/>
      <color rgb="FF000000"/>
      <name val="Cambria"/>
      <family val="0"/>
      <charset val="1"/>
    </font>
    <font>
      <b val="true"/>
      <sz val="6"/>
      <color rgb="FF000000"/>
      <name val="Cambria"/>
      <family val="0"/>
      <charset val="1"/>
    </font>
    <font>
      <sz val="10"/>
      <name val="Arial"/>
      <family val="2"/>
    </font>
    <font>
      <sz val="32"/>
      <color rgb="FF000000"/>
      <name val="Viper nora"/>
      <family val="0"/>
      <charset val="1"/>
    </font>
    <font>
      <b val="true"/>
      <sz val="7"/>
      <color rgb="FF000000"/>
      <name val="Cambria"/>
      <family val="0"/>
      <charset val="1"/>
    </font>
    <font>
      <b val="true"/>
      <sz val="10"/>
      <color rgb="FFFFFFFF"/>
      <name val="Cambria"/>
      <family val="0"/>
      <charset val="1"/>
    </font>
    <font>
      <b val="true"/>
      <i val="true"/>
      <sz val="10"/>
      <name val="Cambria"/>
      <family val="0"/>
      <charset val="1"/>
    </font>
    <font>
      <b val="true"/>
      <sz val="10"/>
      <name val="Cambria"/>
      <family val="0"/>
      <charset val="1"/>
    </font>
    <font>
      <b val="true"/>
      <sz val="11"/>
      <name val="Arial"/>
      <family val="0"/>
      <charset val="1"/>
    </font>
    <font>
      <b val="true"/>
      <i val="true"/>
      <sz val="10"/>
      <color rgb="FFFFFFFF"/>
      <name val="Cambria"/>
      <family val="0"/>
      <charset val="1"/>
    </font>
    <font>
      <sz val="10"/>
      <color rgb="FFFFFFFF"/>
      <name val="Cambria"/>
      <family val="0"/>
      <charset val="1"/>
    </font>
    <font>
      <b val="true"/>
      <sz val="9"/>
      <name val="Cambria"/>
      <family val="0"/>
      <charset val="1"/>
    </font>
    <font>
      <sz val="6"/>
      <name val="Cambria"/>
      <family val="0"/>
      <charset val="1"/>
    </font>
    <font>
      <b val="true"/>
      <sz val="6"/>
      <name val="Cambria"/>
      <family val="0"/>
      <charset val="1"/>
    </font>
    <font>
      <b val="true"/>
      <sz val="12"/>
      <name val="Cambria"/>
      <family val="0"/>
      <charset val="1"/>
    </font>
    <font>
      <sz val="11"/>
      <color rgb="FF000000"/>
      <name val="Cambria"/>
      <family val="0"/>
      <charset val="1"/>
    </font>
  </fonts>
  <fills count="18">
    <fill>
      <patternFill patternType="none"/>
    </fill>
    <fill>
      <patternFill patternType="gray125"/>
    </fill>
    <fill>
      <patternFill patternType="solid">
        <fgColor rgb="FFFFFFFF"/>
        <bgColor rgb="FFF8F8F8"/>
      </patternFill>
    </fill>
    <fill>
      <patternFill patternType="solid">
        <fgColor rgb="FFBFBFBF"/>
        <bgColor rgb="FFD9D9D9"/>
      </patternFill>
    </fill>
    <fill>
      <patternFill patternType="solid">
        <fgColor rgb="FFEFEFEF"/>
        <bgColor rgb="FFF3F3F3"/>
      </patternFill>
    </fill>
    <fill>
      <patternFill patternType="solid">
        <fgColor rgb="FFF9EBEE"/>
        <bgColor rgb="FFEFEFEF"/>
      </patternFill>
    </fill>
    <fill>
      <patternFill patternType="solid">
        <fgColor rgb="FF000000"/>
        <bgColor rgb="FF003300"/>
      </patternFill>
    </fill>
    <fill>
      <patternFill patternType="solid">
        <fgColor rgb="FFF8F8F8"/>
        <bgColor rgb="FFF3F3F3"/>
      </patternFill>
    </fill>
    <fill>
      <patternFill patternType="solid">
        <fgColor rgb="FFFFBDE1"/>
        <bgColor rgb="FFD9D9D9"/>
      </patternFill>
    </fill>
    <fill>
      <patternFill patternType="solid">
        <fgColor rgb="FFAED8FF"/>
        <bgColor rgb="FFD9D9D9"/>
      </patternFill>
    </fill>
    <fill>
      <patternFill patternType="solid">
        <fgColor rgb="FFD9D9D9"/>
        <bgColor rgb="FFFCE5CD"/>
      </patternFill>
    </fill>
    <fill>
      <patternFill patternType="solid">
        <fgColor rgb="FFF3F3F3"/>
        <bgColor rgb="FFEFEFEF"/>
      </patternFill>
    </fill>
    <fill>
      <patternFill patternType="solid">
        <fgColor rgb="FFF6F9D4"/>
        <bgColor rgb="FFF3F3F3"/>
      </patternFill>
    </fill>
    <fill>
      <patternFill patternType="solid">
        <fgColor rgb="FFFCE5CD"/>
        <bgColor rgb="FFF9EBEE"/>
      </patternFill>
    </fill>
    <fill>
      <patternFill patternType="solid">
        <fgColor rgb="FF4A86E8"/>
        <bgColor rgb="FF666699"/>
      </patternFill>
    </fill>
    <fill>
      <patternFill patternType="solid">
        <fgColor rgb="FF6AA84F"/>
        <bgColor rgb="FF969696"/>
      </patternFill>
    </fill>
    <fill>
      <patternFill patternType="solid">
        <fgColor rgb="FFA61C00"/>
        <bgColor rgb="FF800000"/>
      </patternFill>
    </fill>
    <fill>
      <patternFill patternType="solid">
        <fgColor rgb="FFC3F9C2"/>
        <bgColor rgb="FFD9D9D9"/>
      </patternFill>
    </fill>
  </fills>
  <borders count="15">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top/>
      <bottom style="thin"/>
      <diagonal/>
    </border>
    <border diagonalUp="false" diagonalDown="false">
      <left/>
      <right style="thin"/>
      <top style="thin"/>
      <bottom/>
      <diagonal/>
    </border>
    <border diagonalUp="false" diagonalDown="false">
      <left style="thin"/>
      <right style="thin"/>
      <top style="thin"/>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center" vertical="center" textRotation="0" wrapText="false" indent="0" shrinkToFit="false"/>
      <protection locked="true" hidden="false"/>
    </xf>
    <xf numFmtId="164" fontId="6" fillId="2" borderId="0" xfId="0" applyFont="true" applyBorder="false" applyAlignment="true" applyProtection="true">
      <alignment horizontal="center" vertical="center" textRotation="0" wrapText="false" indent="0" shrinkToFit="false"/>
      <protection locked="true" hidden="false"/>
    </xf>
    <xf numFmtId="164" fontId="7" fillId="2" borderId="3" xfId="0" applyFont="true" applyBorder="true" applyAlignment="true" applyProtection="true">
      <alignment horizontal="center" vertical="bottom" textRotation="0" wrapText="fals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4" fillId="2" borderId="0" xfId="0" applyFont="true" applyBorder="true" applyAlignment="true" applyProtection="true">
      <alignment horizontal="general" vertical="bottom" textRotation="0" wrapText="true" indent="0" shrinkToFit="false"/>
      <protection locked="true" hidden="false"/>
    </xf>
    <xf numFmtId="164" fontId="14" fillId="2" borderId="0"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left" vertical="bottom" textRotation="0" wrapText="false" indent="0" shrinkToFit="false"/>
      <protection locked="true" hidden="false"/>
    </xf>
    <xf numFmtId="164" fontId="15" fillId="2" borderId="0" xfId="0" applyFont="true" applyBorder="fals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left" vertical="bottom" textRotation="0" wrapText="true" indent="0" shrinkToFit="false"/>
      <protection locked="true" hidden="false"/>
    </xf>
    <xf numFmtId="164" fontId="10" fillId="2" borderId="0" xfId="0" applyFont="true" applyBorder="false" applyAlignment="true" applyProtection="true">
      <alignment horizontal="left" vertical="bottom" textRotation="0" wrapText="true" indent="0" shrinkToFit="false"/>
      <protection locked="true" hidden="false"/>
    </xf>
    <xf numFmtId="164" fontId="15" fillId="2" borderId="0" xfId="0" applyFont="true" applyBorder="true" applyAlignment="true" applyProtection="true">
      <alignment horizontal="general" vertical="bottom" textRotation="0" wrapText="true" indent="0" shrinkToFit="false"/>
      <protection locked="true" hidden="false"/>
    </xf>
    <xf numFmtId="164" fontId="15" fillId="2" borderId="0" xfId="0" applyFont="true" applyBorder="true" applyAlignment="true" applyProtection="true">
      <alignment horizontal="left" vertical="bottom" textRotation="0" wrapText="tru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8" fillId="2" borderId="0" xfId="0" applyFont="true" applyBorder="false" applyAlignment="true" applyProtection="true">
      <alignment horizontal="general" vertical="bottom" textRotation="0" wrapText="false" indent="0" shrinkToFit="false"/>
      <protection locked="true" hidden="false"/>
    </xf>
    <xf numFmtId="164" fontId="17" fillId="2" borderId="0" xfId="0" applyFont="true" applyBorder="false" applyAlignment="true" applyProtection="true">
      <alignment horizontal="left" vertical="bottom" textRotation="0" wrapText="false" indent="0" shrinkToFit="false"/>
      <protection locked="true" hidden="false"/>
    </xf>
    <xf numFmtId="164" fontId="16" fillId="2" borderId="0" xfId="0" applyFont="true" applyBorder="false" applyAlignment="true" applyProtection="true">
      <alignment horizontal="left" vertical="bottom" textRotation="0" wrapText="false" indent="0" shrinkToFit="false"/>
      <protection locked="true" hidden="false"/>
    </xf>
    <xf numFmtId="164" fontId="19" fillId="3" borderId="4" xfId="0" applyFont="true" applyBorder="true" applyAlignment="true" applyProtection="true">
      <alignment horizontal="center" vertical="center"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general" vertical="bottom" textRotation="0" wrapText="false" indent="0" shrinkToFit="false"/>
      <protection locked="true" hidden="false"/>
    </xf>
    <xf numFmtId="164" fontId="10" fillId="0" borderId="4" xfId="0" applyFont="true" applyBorder="tru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true" indent="0" shrinkToFit="false"/>
      <protection locked="true" hidden="false"/>
    </xf>
    <xf numFmtId="164" fontId="10" fillId="4" borderId="4" xfId="0" applyFont="true" applyBorder="true" applyAlignment="true" applyProtection="true">
      <alignment horizontal="left" vertical="bottom" textRotation="0" wrapText="false" indent="0" shrinkToFit="false"/>
      <protection locked="true" hidden="false"/>
    </xf>
    <xf numFmtId="164" fontId="10" fillId="5" borderId="4" xfId="0" applyFont="true" applyBorder="true" applyAlignment="true" applyProtection="true">
      <alignment horizontal="left" vertical="bottom" textRotation="0" wrapText="false" indent="0" shrinkToFit="false"/>
      <protection locked="true" hidden="false"/>
    </xf>
    <xf numFmtId="164" fontId="15" fillId="2" borderId="0" xfId="0" applyFont="true" applyBorder="true" applyAlignment="true" applyProtection="true">
      <alignment horizontal="left" vertical="bottom" textRotation="0" wrapText="false" indent="0" shrinkToFit="false"/>
      <protection locked="true" hidden="false"/>
    </xf>
    <xf numFmtId="164" fontId="15" fillId="0" borderId="0" xfId="0" applyFont="true" applyBorder="false" applyAlignment="true" applyProtection="true">
      <alignment horizontal="left" vertical="bottom" textRotation="0" wrapText="false" indent="0" shrinkToFit="false"/>
      <protection locked="true" hidden="false"/>
    </xf>
    <xf numFmtId="164" fontId="21" fillId="0" borderId="0" xfId="0" applyFont="true" applyBorder="tru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5" fontId="22" fillId="0" borderId="0" xfId="0" applyFont="true" applyBorder="fals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23" fillId="6" borderId="1" xfId="0" applyFont="true" applyBorder="true" applyAlignment="true" applyProtection="true">
      <alignment horizontal="left" vertical="center" textRotation="0" wrapText="false" indent="0" shrinkToFit="false"/>
      <protection locked="true" hidden="false"/>
    </xf>
    <xf numFmtId="164" fontId="23" fillId="6" borderId="0" xfId="0" applyFont="true" applyBorder="false" applyAlignment="true" applyProtection="true">
      <alignment horizontal="left" vertical="center" textRotation="0" wrapText="false" indent="0" shrinkToFit="false"/>
      <protection locked="true" hidden="false"/>
    </xf>
    <xf numFmtId="164" fontId="10" fillId="6"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10" fillId="0" borderId="5"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2" fillId="4" borderId="4" xfId="0" applyFont="true" applyBorder="true" applyAlignment="true" applyProtection="true">
      <alignment horizontal="general" vertical="center" textRotation="0" wrapText="false" indent="0" shrinkToFit="false"/>
      <protection locked="true" hidden="false"/>
    </xf>
    <xf numFmtId="164" fontId="10" fillId="0" borderId="4" xfId="0" applyFont="true" applyBorder="true" applyAlignment="true" applyProtection="true">
      <alignment horizontal="general" vertical="center" textRotation="0" wrapText="false" indent="0" shrinkToFit="false"/>
      <protection locked="true" hidden="false"/>
    </xf>
    <xf numFmtId="165" fontId="10" fillId="2" borderId="4" xfId="0" applyFont="true" applyBorder="true" applyAlignment="true" applyProtection="true">
      <alignment horizontal="general" vertical="center" textRotation="0" wrapText="false" indent="0" shrinkToFit="false"/>
      <protection locked="true" hidden="false"/>
    </xf>
    <xf numFmtId="164" fontId="10" fillId="2" borderId="6"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10" fillId="2" borderId="0" xfId="0" applyFont="true" applyBorder="false" applyAlignment="true" applyProtection="true">
      <alignment horizontal="center" vertical="center" textRotation="0" wrapText="false" indent="0" shrinkToFit="false"/>
      <protection locked="true" hidden="false"/>
    </xf>
    <xf numFmtId="164" fontId="10" fillId="0" borderId="6"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center" vertical="center" textRotation="0" wrapText="false" indent="0" shrinkToFit="false"/>
      <protection locked="true" hidden="false"/>
    </xf>
    <xf numFmtId="164" fontId="10" fillId="0" borderId="4" xfId="0" applyFont="true" applyBorder="true" applyAlignment="true" applyProtection="true">
      <alignment horizontal="left" vertical="center" textRotation="0" wrapText="false" indent="0" shrinkToFit="false"/>
      <protection locked="true" hidden="false"/>
    </xf>
    <xf numFmtId="164" fontId="10" fillId="2" borderId="4" xfId="0" applyFont="true" applyBorder="true" applyAlignment="true" applyProtection="true">
      <alignment horizontal="left" vertical="center" textRotation="0" wrapText="false" indent="0" shrinkToFit="false"/>
      <protection locked="true" hidden="false"/>
    </xf>
    <xf numFmtId="164" fontId="12" fillId="5" borderId="4" xfId="0" applyFont="true" applyBorder="true" applyAlignment="true" applyProtection="true">
      <alignment horizontal="general" vertical="center" textRotation="0" wrapText="false" indent="0" shrinkToFit="false"/>
      <protection locked="true" hidden="false"/>
    </xf>
    <xf numFmtId="164" fontId="10" fillId="7" borderId="4" xfId="0" applyFont="true" applyBorder="true" applyAlignment="true" applyProtection="true">
      <alignment horizontal="left" vertical="center"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10" fillId="2" borderId="2" xfId="0" applyFont="true" applyBorder="tru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center" vertical="bottom" textRotation="0" wrapText="false" indent="0" shrinkToFit="false"/>
      <protection locked="true" hidden="false"/>
    </xf>
    <xf numFmtId="164" fontId="12" fillId="8" borderId="4" xfId="0" applyFont="true" applyBorder="true" applyAlignment="true" applyProtection="true">
      <alignment horizontal="general" vertical="center" textRotation="0" wrapText="false" indent="0" shrinkToFit="false"/>
      <protection locked="true" hidden="false"/>
    </xf>
    <xf numFmtId="164" fontId="26" fillId="4" borderId="4" xfId="0" applyFont="true" applyBorder="true" applyAlignment="true" applyProtection="true">
      <alignment horizontal="center" vertical="bottom" textRotation="0" wrapText="false" indent="0" shrinkToFit="false"/>
      <protection locked="true" hidden="false"/>
    </xf>
    <xf numFmtId="164" fontId="8" fillId="4" borderId="4" xfId="0" applyFont="true" applyBorder="true" applyAlignment="true" applyProtection="true">
      <alignment horizontal="center" vertical="bottom" textRotation="0" wrapText="false" indent="0" shrinkToFit="false"/>
      <protection locked="true" hidden="false"/>
    </xf>
    <xf numFmtId="164" fontId="10" fillId="2" borderId="7" xfId="0" applyFont="true" applyBorder="true" applyAlignment="true" applyProtection="true">
      <alignment horizontal="general" vertical="bottom" textRotation="0" wrapText="false" indent="0" shrinkToFit="false"/>
      <protection locked="true" hidden="false"/>
    </xf>
    <xf numFmtId="164" fontId="26" fillId="5" borderId="4" xfId="0" applyFont="true" applyBorder="true" applyAlignment="true" applyProtection="true">
      <alignment horizontal="center" vertical="bottom" textRotation="0" wrapText="false" indent="0" shrinkToFit="false"/>
      <protection locked="true" hidden="false"/>
    </xf>
    <xf numFmtId="164" fontId="8" fillId="5" borderId="4" xfId="0" applyFont="true" applyBorder="true" applyAlignment="true" applyProtection="true">
      <alignment horizontal="center" vertical="bottom" textRotation="0" wrapText="false" indent="0" shrinkToFit="false"/>
      <protection locked="true" hidden="false"/>
    </xf>
    <xf numFmtId="164" fontId="27" fillId="4" borderId="4" xfId="0" applyFont="true" applyBorder="true" applyAlignment="true" applyProtection="true">
      <alignment horizontal="center" vertical="bottom" textRotation="0" wrapText="false" indent="0" shrinkToFit="false"/>
      <protection locked="true" hidden="false"/>
    </xf>
    <xf numFmtId="164" fontId="19" fillId="4" borderId="4" xfId="0" applyFont="true" applyBorder="true" applyAlignment="true" applyProtection="true">
      <alignment horizontal="center" vertical="bottom" textRotation="0" wrapText="false" indent="0" shrinkToFit="false"/>
      <protection locked="true" hidden="false"/>
    </xf>
    <xf numFmtId="164" fontId="27" fillId="5" borderId="4" xfId="0" applyFont="true" applyBorder="true" applyAlignment="true" applyProtection="true">
      <alignment horizontal="center" vertical="bottom" textRotation="0" wrapText="false" indent="0" shrinkToFit="false"/>
      <protection locked="true" hidden="false"/>
    </xf>
    <xf numFmtId="164" fontId="19" fillId="5" borderId="4" xfId="0" applyFont="true" applyBorder="true" applyAlignment="true" applyProtection="true">
      <alignment horizontal="center" vertical="bottom" textRotation="0" wrapText="false" indent="0" shrinkToFit="false"/>
      <protection locked="true" hidden="false"/>
    </xf>
    <xf numFmtId="164" fontId="12" fillId="4" borderId="4" xfId="0" applyFont="true" applyBorder="true" applyAlignment="true" applyProtection="true">
      <alignment horizontal="general" vertical="bottom" textRotation="0" wrapText="false" indent="0" shrinkToFit="false"/>
      <protection locked="true" hidden="false"/>
    </xf>
    <xf numFmtId="164" fontId="28" fillId="0" borderId="4" xfId="0" applyFont="true" applyBorder="true" applyAlignment="true" applyProtection="true">
      <alignment horizontal="center" vertical="center" textRotation="0" wrapText="false" indent="0" shrinkToFit="false"/>
      <protection locked="true" hidden="false"/>
    </xf>
    <xf numFmtId="164" fontId="17" fillId="0" borderId="4" xfId="0" applyFont="true" applyBorder="true" applyAlignment="true" applyProtection="true">
      <alignment horizontal="center" vertical="bottom" textRotation="0" wrapText="false" indent="0" shrinkToFit="false"/>
      <protection locked="true" hidden="false"/>
    </xf>
    <xf numFmtId="164" fontId="17" fillId="2" borderId="8" xfId="0" applyFont="true" applyBorder="true" applyAlignment="true" applyProtection="true">
      <alignment horizontal="center" vertical="bottom" textRotation="0" wrapText="false" indent="0" shrinkToFit="false"/>
      <protection locked="true" hidden="false"/>
    </xf>
    <xf numFmtId="164" fontId="10" fillId="5" borderId="4" xfId="0" applyFont="true" applyBorder="true" applyAlignment="true" applyProtection="true">
      <alignment horizontal="general" vertical="bottom" textRotation="0" wrapText="false" indent="0" shrinkToFit="false"/>
      <protection locked="true" hidden="false"/>
    </xf>
    <xf numFmtId="164" fontId="10" fillId="0" borderId="4" xfId="0" applyFont="true" applyBorder="true" applyAlignment="true" applyProtection="true">
      <alignment horizontal="center" vertical="bottom" textRotation="0" wrapText="false" indent="0" shrinkToFit="false"/>
      <protection locked="true" hidden="false"/>
    </xf>
    <xf numFmtId="164" fontId="10" fillId="2" borderId="4" xfId="0" applyFont="true" applyBorder="true" applyAlignment="true" applyProtection="true">
      <alignment horizontal="center" vertical="bottom" textRotation="0" wrapText="false" indent="0" shrinkToFit="false"/>
      <protection locked="true" hidden="false"/>
    </xf>
    <xf numFmtId="164" fontId="17" fillId="2" borderId="9" xfId="0" applyFont="true" applyBorder="true" applyAlignment="true" applyProtection="true">
      <alignment horizontal="center" vertical="bottom" textRotation="0" wrapText="false" indent="0" shrinkToFit="false"/>
      <protection locked="true" hidden="false"/>
    </xf>
    <xf numFmtId="164" fontId="17" fillId="2" borderId="10" xfId="0" applyFont="true" applyBorder="true" applyAlignment="true" applyProtection="true">
      <alignment horizontal="center" vertical="bottom" textRotation="0" wrapText="false" indent="0" shrinkToFit="false"/>
      <protection locked="true" hidden="false"/>
    </xf>
    <xf numFmtId="164" fontId="17" fillId="5" borderId="4" xfId="0" applyFont="true" applyBorder="true" applyAlignment="true" applyProtection="true">
      <alignment horizontal="general" vertical="bottom" textRotation="0" wrapText="false" indent="0" shrinkToFit="false"/>
      <protection locked="true" hidden="false"/>
    </xf>
    <xf numFmtId="164" fontId="12" fillId="4" borderId="8" xfId="0" applyFont="true" applyBorder="true" applyAlignment="true" applyProtection="true">
      <alignment horizontal="general" vertical="bottom" textRotation="0" wrapText="false" indent="0" shrinkToFit="false"/>
      <protection locked="true" hidden="false"/>
    </xf>
    <xf numFmtId="164" fontId="17" fillId="5" borderId="9" xfId="0" applyFont="true" applyBorder="true" applyAlignment="true" applyProtection="true">
      <alignment horizontal="general" vertical="bottom" textRotation="0" wrapText="false" indent="0" shrinkToFit="false"/>
      <protection locked="true" hidden="false"/>
    </xf>
    <xf numFmtId="164" fontId="12" fillId="4" borderId="4" xfId="0" applyFont="true" applyBorder="true" applyAlignment="true" applyProtection="true">
      <alignment horizontal="right" vertical="bottom" textRotation="0" wrapText="false" indent="0" shrinkToFit="false"/>
      <protection locked="true" hidden="false"/>
    </xf>
    <xf numFmtId="164" fontId="19" fillId="0" borderId="4" xfId="0" applyFont="true" applyBorder="true" applyAlignment="true" applyProtection="true">
      <alignment horizontal="center" vertical="center" textRotation="0" wrapText="false" indent="0" shrinkToFit="false"/>
      <protection locked="true" hidden="false"/>
    </xf>
    <xf numFmtId="164" fontId="28" fillId="0" borderId="2" xfId="0" applyFont="true" applyBorder="true" applyAlignment="true" applyProtection="true">
      <alignment horizontal="general" vertical="bottom" textRotation="0" wrapText="false" indent="0" shrinkToFit="false"/>
      <protection locked="true" hidden="false"/>
    </xf>
    <xf numFmtId="164" fontId="10" fillId="2" borderId="11" xfId="0" applyFont="true" applyBorder="true" applyAlignment="true" applyProtection="true">
      <alignment horizontal="general" vertical="bottom" textRotation="0" wrapText="false" indent="0" shrinkToFit="false"/>
      <protection locked="true" hidden="false"/>
    </xf>
    <xf numFmtId="164" fontId="12" fillId="2" borderId="4" xfId="0" applyFont="true" applyBorder="true" applyAlignment="true" applyProtection="true">
      <alignment horizontal="general" vertical="bottom" textRotation="0" wrapText="false" indent="0" shrinkToFit="false"/>
      <protection locked="true" hidden="false"/>
    </xf>
    <xf numFmtId="164" fontId="28" fillId="2" borderId="4" xfId="0" applyFont="true" applyBorder="true" applyAlignment="true" applyProtection="true">
      <alignment horizontal="center" vertical="center" textRotation="0" wrapText="false" indent="0" shrinkToFit="false"/>
      <protection locked="true" hidden="false"/>
    </xf>
    <xf numFmtId="164" fontId="12" fillId="5" borderId="4"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0" fillId="5" borderId="4" xfId="0" applyFont="true" applyBorder="true" applyAlignment="true" applyProtection="true">
      <alignment horizontal="right" vertical="bottom" textRotation="0" wrapText="false" indent="0" shrinkToFit="false"/>
      <protection locked="true" hidden="false"/>
    </xf>
    <xf numFmtId="164" fontId="19" fillId="0" borderId="4" xfId="0" applyFont="true" applyBorder="true" applyAlignment="true" applyProtection="true">
      <alignment horizontal="center" vertical="bottom" textRotation="0" wrapText="false" indent="0" shrinkToFit="false"/>
      <protection locked="true" hidden="false"/>
    </xf>
    <xf numFmtId="164" fontId="12" fillId="5" borderId="4" xfId="0" applyFont="true" applyBorder="true" applyAlignment="true" applyProtection="true">
      <alignment horizontal="right" vertical="bottom" textRotation="0" wrapText="false" indent="0" shrinkToFit="false"/>
      <protection locked="true" hidden="false"/>
    </xf>
    <xf numFmtId="164" fontId="12" fillId="2" borderId="4" xfId="0" applyFont="true" applyBorder="true" applyAlignment="true" applyProtection="true">
      <alignment horizontal="center" vertical="bottom" textRotation="0" wrapText="false" indent="0" shrinkToFit="false"/>
      <protection locked="true" hidden="false"/>
    </xf>
    <xf numFmtId="164" fontId="29" fillId="4" borderId="4" xfId="0" applyFont="true" applyBorder="true" applyAlignment="true" applyProtection="true">
      <alignment horizontal="center" vertical="bottom" textRotation="0" wrapText="true" indent="0" shrinkToFit="false"/>
      <protection locked="true" hidden="false"/>
    </xf>
    <xf numFmtId="164" fontId="12" fillId="4" borderId="4" xfId="0" applyFont="true" applyBorder="true" applyAlignment="true" applyProtection="true">
      <alignment horizontal="center" vertical="bottom" textRotation="0" wrapText="false" indent="0" shrinkToFit="false"/>
      <protection locked="true" hidden="false"/>
    </xf>
    <xf numFmtId="164" fontId="12" fillId="4" borderId="1" xfId="0" applyFont="true" applyBorder="true" applyAlignment="true" applyProtection="true">
      <alignment horizontal="center" vertical="bottom" textRotation="0" wrapText="false" indent="0" shrinkToFit="false"/>
      <protection locked="true" hidden="false"/>
    </xf>
    <xf numFmtId="164" fontId="10" fillId="0" borderId="2" xfId="0" applyFont="true" applyBorder="true" applyAlignment="true" applyProtection="true">
      <alignment horizontal="center" vertical="bottom" textRotation="0" wrapText="false" indent="0" shrinkToFit="false"/>
      <protection locked="true" hidden="false"/>
    </xf>
    <xf numFmtId="164" fontId="10" fillId="0" borderId="4"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4" fontId="8" fillId="4" borderId="4" xfId="0" applyFont="true" applyBorder="true" applyAlignment="true" applyProtection="true">
      <alignment horizontal="center" vertical="center" textRotation="0" wrapText="false" indent="0" shrinkToFit="false"/>
      <protection locked="true" hidden="false"/>
    </xf>
    <xf numFmtId="164" fontId="12" fillId="5" borderId="4" xfId="0" applyFont="tru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4" fontId="10" fillId="2" borderId="3" xfId="0" applyFont="true" applyBorder="true" applyAlignment="true" applyProtection="true">
      <alignment horizontal="general" vertical="bottom" textRotation="0" wrapText="false" indent="0" shrinkToFit="false"/>
      <protection locked="true" hidden="false"/>
    </xf>
    <xf numFmtId="164" fontId="10" fillId="2" borderId="5" xfId="0" applyFont="true" applyBorder="true" applyAlignment="true" applyProtection="true">
      <alignment horizontal="general" vertical="bottom" textRotation="0" wrapText="false" indent="0" shrinkToFit="false"/>
      <protection locked="true" hidden="false"/>
    </xf>
    <xf numFmtId="164" fontId="12" fillId="9" borderId="4" xfId="0" applyFont="true" applyBorder="true" applyAlignment="true" applyProtection="true">
      <alignment horizontal="general" vertical="center"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24" fillId="5" borderId="4" xfId="0" applyFont="true" applyBorder="true" applyAlignment="true" applyProtection="true">
      <alignment horizontal="right" vertical="bottom" textRotation="0" wrapText="false" indent="0" shrinkToFit="false"/>
      <protection locked="true" hidden="false"/>
    </xf>
    <xf numFmtId="164" fontId="31" fillId="5" borderId="4" xfId="0" applyFont="true" applyBorder="true" applyAlignment="true" applyProtection="true">
      <alignment horizontal="center" vertical="bottom" textRotation="0" wrapText="false" indent="0" shrinkToFit="false"/>
      <protection locked="true" hidden="false"/>
    </xf>
    <xf numFmtId="164" fontId="8" fillId="10" borderId="4" xfId="0" applyFont="true" applyBorder="true" applyAlignment="true" applyProtection="true">
      <alignment horizontal="center" vertical="center" textRotation="0" wrapText="false" indent="0" shrinkToFit="false"/>
      <protection locked="true" hidden="false"/>
    </xf>
    <xf numFmtId="164" fontId="8" fillId="10" borderId="4" xfId="0" applyFont="true" applyBorder="true" applyAlignment="true" applyProtection="true">
      <alignment horizontal="left" vertical="center" textRotation="0" wrapText="false" indent="0" shrinkToFit="false"/>
      <protection locked="true" hidden="false"/>
    </xf>
    <xf numFmtId="166" fontId="19" fillId="4" borderId="4" xfId="0" applyFont="true" applyBorder="true" applyAlignment="true" applyProtection="true">
      <alignment horizontal="center" vertical="center" textRotation="0" wrapText="false" indent="0" shrinkToFit="false"/>
      <protection locked="true" hidden="false"/>
    </xf>
    <xf numFmtId="164" fontId="19" fillId="4" borderId="4" xfId="0" applyFont="true" applyBorder="true" applyAlignment="true" applyProtection="true">
      <alignment horizontal="center" vertical="center" textRotation="0" wrapText="false" indent="0" shrinkToFit="false"/>
      <protection locked="true" hidden="false"/>
    </xf>
    <xf numFmtId="164" fontId="19" fillId="11" borderId="4" xfId="0" applyFont="true" applyBorder="true" applyAlignment="true" applyProtection="true">
      <alignment horizontal="center" vertical="center" textRotation="0" wrapText="false" indent="0" shrinkToFit="false"/>
      <protection locked="true" hidden="false"/>
    </xf>
    <xf numFmtId="164" fontId="32" fillId="4" borderId="4" xfId="0" applyFont="true" applyBorder="true" applyAlignment="true" applyProtection="true">
      <alignment horizontal="center" vertical="center" textRotation="0" wrapText="true" indent="0" shrinkToFit="false"/>
      <protection locked="true" hidden="false"/>
    </xf>
    <xf numFmtId="165" fontId="10" fillId="0" borderId="4" xfId="0" applyFont="true" applyBorder="true" applyAlignment="true" applyProtection="true">
      <alignment horizontal="general" vertical="bottom" textRotation="0" wrapText="false" indent="0" shrinkToFit="false"/>
      <protection locked="true" hidden="false"/>
    </xf>
    <xf numFmtId="164" fontId="10" fillId="2" borderId="4" xfId="0" applyFont="true" applyBorder="true" applyAlignment="true" applyProtection="true">
      <alignment horizontal="general" vertical="bottom" textRotation="0" wrapText="true" indent="0" shrinkToFit="false"/>
      <protection locked="true" hidden="false"/>
    </xf>
    <xf numFmtId="165" fontId="10" fillId="12" borderId="4" xfId="0" applyFont="true" applyBorder="true" applyAlignment="true" applyProtection="true">
      <alignment horizontal="general" vertical="bottom" textRotation="0" wrapText="false" indent="0" shrinkToFit="false"/>
      <protection locked="true" hidden="false"/>
    </xf>
    <xf numFmtId="164" fontId="10" fillId="12" borderId="4" xfId="0" applyFont="true" applyBorder="true" applyAlignment="true" applyProtection="true">
      <alignment horizontal="general" vertical="bottom" textRotation="0" wrapText="true" indent="0" shrinkToFit="false"/>
      <protection locked="true" hidden="false"/>
    </xf>
    <xf numFmtId="164" fontId="10" fillId="12" borderId="4" xfId="0" applyFont="true" applyBorder="true" applyAlignment="true" applyProtection="true">
      <alignment horizontal="center"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2" borderId="4" xfId="0" applyFont="true" applyBorder="true" applyAlignment="true" applyProtection="true">
      <alignment horizontal="general" vertical="bottom" textRotation="0" wrapText="false" indent="0" shrinkToFit="false"/>
      <protection locked="true" hidden="false"/>
    </xf>
    <xf numFmtId="167" fontId="0" fillId="0" borderId="4" xfId="0" applyFont="true" applyBorder="tru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5" fontId="0" fillId="0" borderId="4" xfId="0" applyFont="false" applyBorder="true" applyAlignment="true" applyProtection="true">
      <alignment horizontal="general" vertical="bottom" textRotation="0" wrapText="false" indent="0" shrinkToFit="false"/>
      <protection locked="true" hidden="false"/>
    </xf>
    <xf numFmtId="167" fontId="0" fillId="12" borderId="4" xfId="0" applyFont="true" applyBorder="tru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7" fontId="0" fillId="12" borderId="0" xfId="0" applyFont="true" applyBorder="false" applyAlignment="true" applyProtection="true">
      <alignment horizontal="general" vertical="bottom" textRotation="0" wrapText="true" indent="0" shrinkToFit="false"/>
      <protection locked="true" hidden="false"/>
    </xf>
    <xf numFmtId="164" fontId="0" fillId="12"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33" fillId="6" borderId="5" xfId="0" applyFont="tru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34" fillId="5" borderId="4" xfId="0" applyFont="true" applyBorder="true" applyAlignment="true" applyProtection="true">
      <alignment horizontal="general"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3" fillId="13" borderId="4" xfId="0" applyFont="true" applyBorder="true" applyAlignment="true" applyProtection="true">
      <alignment horizontal="general" vertical="bottom" textRotation="0" wrapText="false" indent="0" shrinkToFit="false"/>
      <protection locked="true" hidden="false"/>
    </xf>
    <xf numFmtId="164" fontId="10" fillId="13" borderId="4" xfId="0" applyFont="true" applyBorder="true" applyAlignment="true" applyProtection="true">
      <alignment horizontal="general" vertical="bottom" textRotation="0" wrapText="false" indent="0" shrinkToFit="false"/>
      <protection locked="true" hidden="false"/>
    </xf>
    <xf numFmtId="164" fontId="10" fillId="13" borderId="4" xfId="0" applyFont="true" applyBorder="true" applyAlignment="true" applyProtection="true">
      <alignment horizontal="center" vertical="bottom" textRotation="0" wrapText="false" indent="0" shrinkToFit="false"/>
      <protection locked="true" hidden="false"/>
    </xf>
    <xf numFmtId="164" fontId="17" fillId="2" borderId="4" xfId="0" applyFont="true" applyBorder="true" applyAlignment="true" applyProtection="true">
      <alignment horizontal="general" vertical="bottom" textRotation="0" wrapText="false" indent="0" shrinkToFit="false"/>
      <protection locked="true" hidden="false"/>
    </xf>
    <xf numFmtId="164" fontId="35" fillId="0" borderId="4" xfId="0" applyFont="true" applyBorder="true" applyAlignment="true" applyProtection="true">
      <alignment horizontal="general" vertical="bottom" textRotation="0" wrapText="false" indent="0" shrinkToFit="false"/>
      <protection locked="true" hidden="false"/>
    </xf>
    <xf numFmtId="164" fontId="12" fillId="13" borderId="4" xfId="0" applyFont="true" applyBorder="true" applyAlignment="true" applyProtection="true">
      <alignment horizontal="general" vertical="bottom" textRotation="0" wrapText="false" indent="0" shrinkToFit="false"/>
      <protection locked="true" hidden="false"/>
    </xf>
    <xf numFmtId="164" fontId="13" fillId="5" borderId="4" xfId="0" applyFont="true" applyBorder="true" applyAlignment="true" applyProtection="true">
      <alignment horizontal="general" vertical="bottom" textRotation="0" wrapText="false" indent="0" shrinkToFit="false"/>
      <protection locked="true" hidden="false"/>
    </xf>
    <xf numFmtId="164" fontId="17" fillId="0" borderId="4" xfId="0" applyFont="true" applyBorder="true" applyAlignment="true" applyProtection="true">
      <alignment horizontal="general" vertical="bottom" textRotation="0" wrapText="false" indent="0" shrinkToFit="false"/>
      <protection locked="true" hidden="false"/>
    </xf>
    <xf numFmtId="164" fontId="35" fillId="2" borderId="4" xfId="0" applyFont="true" applyBorder="true" applyAlignment="true" applyProtection="true">
      <alignment horizontal="general" vertical="bottom" textRotation="0" wrapText="false" indent="0" shrinkToFit="false"/>
      <protection locked="true" hidden="false"/>
    </xf>
    <xf numFmtId="164" fontId="17" fillId="0" borderId="7" xfId="0" applyFont="true" applyBorder="true" applyAlignment="true" applyProtection="true">
      <alignment horizontal="general" vertical="bottom" textRotation="0" wrapText="false" indent="0" shrinkToFit="fals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64" fontId="17" fillId="13" borderId="4" xfId="0" applyFont="true" applyBorder="true" applyAlignment="true" applyProtection="true">
      <alignment horizontal="general"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64" fontId="34" fillId="13" borderId="4" xfId="0" applyFont="true" applyBorder="true" applyAlignment="true" applyProtection="true">
      <alignment horizontal="general" vertical="bottom" textRotation="0" wrapText="false" indent="0" shrinkToFit="false"/>
      <protection locked="true" hidden="false"/>
    </xf>
    <xf numFmtId="164" fontId="35" fillId="5" borderId="4" xfId="0" applyFont="true" applyBorder="true" applyAlignment="true" applyProtection="true">
      <alignment horizontal="general" vertical="bottom" textRotation="0" wrapText="false" indent="0" shrinkToFit="false"/>
      <protection locked="true" hidden="false"/>
    </xf>
    <xf numFmtId="164" fontId="35" fillId="13" borderId="4" xfId="0" applyFont="true" applyBorder="true" applyAlignment="true" applyProtection="true">
      <alignment horizontal="general" vertical="bottom" textRotation="0" wrapText="false" indent="0" shrinkToFit="false"/>
      <protection locked="true" hidden="false"/>
    </xf>
    <xf numFmtId="164" fontId="36" fillId="0" borderId="4" xfId="0" applyFont="true" applyBorder="true" applyAlignment="true" applyProtection="true">
      <alignment horizontal="right" vertical="bottom" textRotation="0" wrapText="false" indent="0" shrinkToFit="false"/>
      <protection locked="true" hidden="false"/>
    </xf>
    <xf numFmtId="164" fontId="36" fillId="0" borderId="9" xfId="0" applyFont="true" applyBorder="true" applyAlignment="true" applyProtection="true">
      <alignment horizontal="right" vertical="bottom" textRotation="0" wrapText="false" indent="0" shrinkToFit="false"/>
      <protection locked="true" hidden="false"/>
    </xf>
    <xf numFmtId="164" fontId="37" fillId="14" borderId="4" xfId="0" applyFont="true" applyBorder="true" applyAlignment="true" applyProtection="true">
      <alignment horizontal="general" vertical="bottom" textRotation="0" wrapText="false" indent="0" shrinkToFit="false"/>
      <protection locked="true" hidden="false"/>
    </xf>
    <xf numFmtId="164" fontId="38" fillId="14" borderId="4"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7" fillId="15" borderId="4" xfId="0" applyFont="true" applyBorder="true" applyAlignment="true" applyProtection="true">
      <alignment horizontal="general" vertical="bottom" textRotation="0" wrapText="false" indent="0" shrinkToFit="false"/>
      <protection locked="true" hidden="false"/>
    </xf>
    <xf numFmtId="164" fontId="38" fillId="15" borderId="4" xfId="0" applyFont="true" applyBorder="true" applyAlignment="true" applyProtection="true">
      <alignment horizontal="general" vertical="bottom" textRotation="0" wrapText="false" indent="0" shrinkToFit="false"/>
      <protection locked="true" hidden="false"/>
    </xf>
    <xf numFmtId="164" fontId="38" fillId="15" borderId="4" xfId="0" applyFont="true" applyBorder="true" applyAlignment="true" applyProtection="true">
      <alignment horizontal="center" vertical="bottom" textRotation="0" wrapText="false" indent="0" shrinkToFit="false"/>
      <protection locked="true" hidden="false"/>
    </xf>
    <xf numFmtId="164" fontId="33" fillId="14" borderId="4" xfId="0" applyFont="true" applyBorder="true" applyAlignment="true" applyProtection="true">
      <alignment horizontal="general" vertical="bottom" textRotation="0" wrapText="false" indent="0" shrinkToFit="false"/>
      <protection locked="true" hidden="false"/>
    </xf>
    <xf numFmtId="164" fontId="33" fillId="15" borderId="4" xfId="0" applyFont="true" applyBorder="true" applyAlignment="true" applyProtection="true">
      <alignment horizontal="general" vertical="bottom" textRotation="0" wrapText="false" indent="0" shrinkToFit="false"/>
      <protection locked="true" hidden="false"/>
    </xf>
    <xf numFmtId="164" fontId="17" fillId="14" borderId="4" xfId="0" applyFont="true" applyBorder="true" applyAlignment="true" applyProtection="true">
      <alignment horizontal="general" vertical="bottom" textRotation="0" wrapText="false" indent="0" shrinkToFit="false"/>
      <protection locked="true" hidden="false"/>
    </xf>
    <xf numFmtId="164" fontId="17" fillId="15" borderId="4" xfId="0" applyFont="true" applyBorder="true" applyAlignment="true" applyProtection="true">
      <alignment horizontal="general" vertical="bottom" textRotation="0" wrapText="false" indent="0" shrinkToFit="false"/>
      <protection locked="true" hidden="false"/>
    </xf>
    <xf numFmtId="164" fontId="37" fillId="15" borderId="1" xfId="0" applyFont="true" applyBorder="true" applyAlignment="true" applyProtection="true">
      <alignment horizontal="general" vertical="bottom" textRotation="0" wrapText="false" indent="0" shrinkToFit="false"/>
      <protection locked="true" hidden="false"/>
    </xf>
    <xf numFmtId="164" fontId="33" fillId="15" borderId="1" xfId="0" applyFont="true" applyBorder="true" applyAlignment="true" applyProtection="true">
      <alignment horizontal="general" vertical="bottom" textRotation="0" wrapText="false" indent="0" shrinkToFit="false"/>
      <protection locked="true" hidden="false"/>
    </xf>
    <xf numFmtId="164" fontId="35" fillId="0" borderId="1" xfId="0" applyFont="true" applyBorder="true" applyAlignment="true" applyProtection="true">
      <alignment horizontal="general" vertical="bottom" textRotation="0" wrapText="false" indent="0" shrinkToFit="false"/>
      <protection locked="true" hidden="false"/>
    </xf>
    <xf numFmtId="164" fontId="33" fillId="16" borderId="4" xfId="0" applyFont="true" applyBorder="true" applyAlignment="true" applyProtection="true">
      <alignment horizontal="general" vertical="center" textRotation="0" wrapText="false" indent="0" shrinkToFit="false"/>
      <protection locked="true" hidden="false"/>
    </xf>
    <xf numFmtId="164" fontId="35" fillId="4" borderId="9" xfId="0" applyFont="true" applyBorder="true" applyAlignment="true" applyProtection="true">
      <alignment horizontal="general" vertical="bottom" textRotation="0" wrapText="false" indent="0" shrinkToFit="false"/>
      <protection locked="true" hidden="false"/>
    </xf>
    <xf numFmtId="164" fontId="22" fillId="4" borderId="10" xfId="0" applyFont="true" applyBorder="true" applyAlignment="true" applyProtection="true">
      <alignment horizontal="center" vertical="bottom" textRotation="0" wrapText="false" indent="0" shrinkToFit="false"/>
      <protection locked="true" hidden="false"/>
    </xf>
    <xf numFmtId="164" fontId="35" fillId="4" borderId="10" xfId="0" applyFont="true" applyBorder="true" applyAlignment="true" applyProtection="true">
      <alignment horizontal="center" vertical="bottom" textRotation="0" wrapText="false" indent="0" shrinkToFit="false"/>
      <protection locked="true" hidden="false"/>
    </xf>
    <xf numFmtId="164" fontId="17" fillId="2" borderId="11" xfId="0" applyFont="true" applyBorder="true" applyAlignment="true" applyProtection="true">
      <alignment horizontal="general" vertical="bottom" textRotation="0" wrapText="false" indent="0" shrinkToFit="false"/>
      <protection locked="true" hidden="false"/>
    </xf>
    <xf numFmtId="164" fontId="35" fillId="5" borderId="10" xfId="0" applyFont="true" applyBorder="true" applyAlignment="true" applyProtection="true">
      <alignment horizontal="general" vertical="bottom" textRotation="0" wrapText="false" indent="0" shrinkToFit="false"/>
      <protection locked="true" hidden="false"/>
    </xf>
    <xf numFmtId="164" fontId="22" fillId="5" borderId="10" xfId="0" applyFont="true" applyBorder="true" applyAlignment="true" applyProtection="true">
      <alignment horizontal="center" vertical="bottom" textRotation="0" wrapText="false" indent="0" shrinkToFit="false"/>
      <protection locked="true" hidden="false"/>
    </xf>
    <xf numFmtId="164" fontId="35" fillId="5" borderId="10" xfId="0" applyFont="true" applyBorder="true" applyAlignment="true" applyProtection="true">
      <alignment horizontal="center" vertical="bottom" textRotation="0" wrapText="false" indent="0" shrinkToFit="false"/>
      <protection locked="true" hidden="false"/>
    </xf>
    <xf numFmtId="164" fontId="39" fillId="4" borderId="10" xfId="0" applyFont="true" applyBorder="true" applyAlignment="true" applyProtection="true">
      <alignment horizontal="center" vertical="bottom" textRotation="0" wrapText="false" indent="0" shrinkToFit="false"/>
      <protection locked="true" hidden="false"/>
    </xf>
    <xf numFmtId="164" fontId="7" fillId="4" borderId="10" xfId="0" applyFont="true" applyBorder="true" applyAlignment="true" applyProtection="true">
      <alignment horizontal="center" vertical="bottom" textRotation="0" wrapText="false" indent="0" shrinkToFit="false"/>
      <protection locked="true" hidden="false"/>
    </xf>
    <xf numFmtId="164" fontId="39" fillId="5" borderId="10" xfId="0" applyFont="true" applyBorder="true" applyAlignment="true" applyProtection="true">
      <alignment horizontal="center" vertical="bottom" textRotation="0" wrapText="false" indent="0" shrinkToFit="false"/>
      <protection locked="true" hidden="false"/>
    </xf>
    <xf numFmtId="164" fontId="7" fillId="5" borderId="10" xfId="0" applyFont="true" applyBorder="true" applyAlignment="true" applyProtection="true">
      <alignment horizontal="center" vertical="bottom" textRotation="0" wrapText="false" indent="0" shrinkToFit="false"/>
      <protection locked="true" hidden="false"/>
    </xf>
    <xf numFmtId="164" fontId="40" fillId="0" borderId="10"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bottom" textRotation="0" wrapText="false" indent="0" shrinkToFit="false"/>
      <protection locked="true" hidden="false"/>
    </xf>
    <xf numFmtId="164" fontId="17" fillId="5" borderId="10" xfId="0" applyFont="true" applyBorder="true" applyAlignment="true" applyProtection="true">
      <alignment horizontal="general" vertical="bottom" textRotation="0" wrapText="false" indent="0" shrinkToFit="false"/>
      <protection locked="true" hidden="false"/>
    </xf>
    <xf numFmtId="164" fontId="17" fillId="4" borderId="10" xfId="0" applyFont="true" applyBorder="true" applyAlignment="true" applyProtection="true">
      <alignment horizontal="general" vertical="bottom" textRotation="0" wrapText="false" indent="0" shrinkToFit="false"/>
      <protection locked="true" hidden="false"/>
    </xf>
    <xf numFmtId="164" fontId="35" fillId="4" borderId="9" xfId="0" applyFont="true" applyBorder="true" applyAlignment="true" applyProtection="true">
      <alignment horizontal="right" vertical="bottom" textRotation="0" wrapText="false" indent="0" shrinkToFit="false"/>
      <protection locked="true" hidden="false"/>
    </xf>
    <xf numFmtId="164" fontId="7" fillId="0" borderId="10" xfId="0" applyFont="true" applyBorder="true" applyAlignment="true" applyProtection="true">
      <alignment horizontal="center" vertical="bottom" textRotation="0" wrapText="false" indent="0" shrinkToFit="false"/>
      <protection locked="true" hidden="false"/>
    </xf>
    <xf numFmtId="164" fontId="17" fillId="0" borderId="5" xfId="0" applyFont="true" applyBorder="true" applyAlignment="true" applyProtection="true">
      <alignment horizontal="general" vertical="bottom" textRotation="0" wrapText="false" indent="0" shrinkToFit="false"/>
      <protection locked="true" hidden="false"/>
    </xf>
    <xf numFmtId="164" fontId="35" fillId="2" borderId="9" xfId="0" applyFont="true" applyBorder="true" applyAlignment="true" applyProtection="true">
      <alignment horizontal="general" vertical="bottom" textRotation="0" wrapText="false" indent="0" shrinkToFit="false"/>
      <protection locked="true" hidden="false"/>
    </xf>
    <xf numFmtId="164" fontId="40" fillId="2" borderId="10" xfId="0" applyFont="true" applyBorder="true" applyAlignment="true" applyProtection="true">
      <alignment horizontal="center" vertical="center" textRotation="0" wrapText="false" indent="0" shrinkToFit="false"/>
      <protection locked="true" hidden="false"/>
    </xf>
    <xf numFmtId="164" fontId="35" fillId="5" borderId="9" xfId="0" applyFont="true" applyBorder="true" applyAlignment="true" applyProtection="true">
      <alignment horizontal="general" vertical="bottom" textRotation="0" wrapText="false" indent="0" shrinkToFit="false"/>
      <protection locked="true" hidden="false"/>
    </xf>
    <xf numFmtId="164" fontId="17" fillId="0" borderId="12" xfId="0" applyFont="true" applyBorder="true" applyAlignment="true" applyProtection="true">
      <alignment horizontal="general" vertical="bottom" textRotation="0" wrapText="false" indent="0" shrinkToFit="false"/>
      <protection locked="true" hidden="false"/>
    </xf>
    <xf numFmtId="164" fontId="17" fillId="5" borderId="10" xfId="0" applyFont="true" applyBorder="true" applyAlignment="true" applyProtection="true">
      <alignment horizontal="right" vertical="bottom" textRotation="0" wrapText="false" indent="0" shrinkToFit="false"/>
      <protection locked="true" hidden="false"/>
    </xf>
    <xf numFmtId="164" fontId="35" fillId="5" borderId="10" xfId="0" applyFont="true" applyBorder="true" applyAlignment="true" applyProtection="true">
      <alignment horizontal="right" vertical="bottom" textRotation="0" wrapText="false" indent="0" shrinkToFit="false"/>
      <protection locked="true" hidden="false"/>
    </xf>
    <xf numFmtId="164" fontId="35" fillId="2" borderId="10" xfId="0" applyFont="true" applyBorder="true" applyAlignment="true" applyProtection="true">
      <alignment horizontal="center" vertical="bottom" textRotation="0" wrapText="false" indent="0" shrinkToFit="false"/>
      <protection locked="true" hidden="false"/>
    </xf>
    <xf numFmtId="164" fontId="41" fillId="4" borderId="9" xfId="0" applyFont="true" applyBorder="true" applyAlignment="true" applyProtection="true">
      <alignment horizontal="center" vertical="bottom" textRotation="0" wrapText="true" indent="0" shrinkToFit="false"/>
      <protection locked="true" hidden="false"/>
    </xf>
    <xf numFmtId="164" fontId="41" fillId="4" borderId="10" xfId="0" applyFont="true" applyBorder="true" applyAlignment="true" applyProtection="true">
      <alignment horizontal="center" vertical="bottom" textRotation="0" wrapText="tru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64" fontId="42" fillId="4" borderId="10" xfId="0" applyFont="true" applyBorder="true" applyAlignment="true" applyProtection="true">
      <alignment horizontal="center" vertical="center" textRotation="0" wrapText="false" indent="0" shrinkToFit="false"/>
      <protection locked="true" hidden="false"/>
    </xf>
    <xf numFmtId="164" fontId="24" fillId="17" borderId="2" xfId="0" applyFont="true" applyBorder="true" applyAlignment="true" applyProtection="true">
      <alignment horizontal="right" vertical="bottom" textRotation="0" wrapText="false" indent="0" shrinkToFit="false"/>
      <protection locked="true" hidden="false"/>
    </xf>
    <xf numFmtId="164" fontId="31" fillId="17" borderId="3" xfId="0" applyFont="true" applyBorder="true" applyAlignment="true" applyProtection="true">
      <alignment horizontal="center" vertical="bottom" textRotation="0" wrapText="false" indent="0" shrinkToFit="false"/>
      <protection locked="true" hidden="false"/>
    </xf>
    <xf numFmtId="164" fontId="31" fillId="17" borderId="2" xfId="0" applyFont="true" applyBorder="true" applyAlignment="true" applyProtection="true">
      <alignment horizontal="center" vertical="bottom" textRotation="0" wrapText="false" indent="0" shrinkToFit="false"/>
      <protection locked="true" hidden="false"/>
    </xf>
    <xf numFmtId="164" fontId="8" fillId="4" borderId="8" xfId="0" applyFont="true" applyBorder="true" applyAlignment="true" applyProtection="true">
      <alignment horizontal="center" vertical="center" textRotation="0" wrapText="false" indent="0" shrinkToFit="false"/>
      <protection locked="true" hidden="false"/>
    </xf>
    <xf numFmtId="164" fontId="8" fillId="4" borderId="1" xfId="0" applyFont="true" applyBorder="true" applyAlignment="true" applyProtection="true">
      <alignment horizontal="left" vertical="center" textRotation="0" wrapText="false" indent="0" shrinkToFit="false"/>
      <protection locked="true" hidden="false"/>
    </xf>
    <xf numFmtId="164" fontId="8" fillId="4" borderId="2" xfId="0" applyFont="true" applyBorder="true" applyAlignment="true" applyProtection="true">
      <alignment horizontal="left" vertical="center" textRotation="0" wrapText="false" indent="0" shrinkToFit="false"/>
      <protection locked="true" hidden="false"/>
    </xf>
    <xf numFmtId="164" fontId="8" fillId="4" borderId="2" xfId="0" applyFont="true" applyBorder="true" applyAlignment="true" applyProtection="true">
      <alignment horizontal="center" vertical="center" textRotation="0" wrapText="false" indent="0" shrinkToFit="false"/>
      <protection locked="true" hidden="false"/>
    </xf>
    <xf numFmtId="164" fontId="8" fillId="4" borderId="13" xfId="0" applyFont="true" applyBorder="true" applyAlignment="true" applyProtection="true">
      <alignment horizontal="center" vertical="center" textRotation="0" wrapText="false" indent="0" shrinkToFit="false"/>
      <protection locked="true" hidden="false"/>
    </xf>
    <xf numFmtId="164" fontId="8" fillId="4" borderId="14" xfId="0" applyFont="true" applyBorder="true" applyAlignment="true" applyProtection="true">
      <alignment horizontal="center" vertical="center" textRotation="0" wrapText="false" indent="0" shrinkToFit="false"/>
      <protection locked="true" hidden="false"/>
    </xf>
    <xf numFmtId="164" fontId="19" fillId="11" borderId="9" xfId="0" applyFont="true" applyBorder="true" applyAlignment="true" applyProtection="true">
      <alignment horizontal="center" vertical="center" textRotation="0" wrapText="false" indent="0" shrinkToFit="false"/>
      <protection locked="true" hidden="false"/>
    </xf>
    <xf numFmtId="164" fontId="19" fillId="4" borderId="9" xfId="0" applyFont="true" applyBorder="true" applyAlignment="true" applyProtection="true">
      <alignment horizontal="center" vertical="center" textRotation="0" wrapText="false" indent="0" shrinkToFit="false"/>
      <protection locked="true" hidden="false"/>
    </xf>
    <xf numFmtId="164" fontId="32" fillId="4" borderId="9" xfId="0" applyFont="true" applyBorder="true" applyAlignment="true" applyProtection="true">
      <alignment horizontal="center" vertical="center" textRotation="0" wrapText="true" indent="0" shrinkToFit="false"/>
      <protection locked="true" hidden="false"/>
    </xf>
    <xf numFmtId="165" fontId="10" fillId="2" borderId="4" xfId="0" applyFont="true" applyBorder="true" applyAlignment="true" applyProtection="true">
      <alignment horizontal="general" vertical="bottom" textRotation="0" wrapText="false" indent="0" shrinkToFit="false"/>
      <protection locked="true" hidden="false"/>
    </xf>
    <xf numFmtId="164" fontId="10" fillId="2" borderId="4" xfId="0" applyFont="true" applyBorder="true" applyAlignment="true" applyProtection="true">
      <alignment horizontal="general" vertical="bottom" textRotation="0" wrapText="false" indent="0" shrinkToFit="false"/>
      <protection locked="true" hidden="false"/>
    </xf>
    <xf numFmtId="165" fontId="43" fillId="0" borderId="4" xfId="0" applyFont="true" applyBorder="true" applyAlignment="true" applyProtection="true">
      <alignment horizontal="general" vertical="bottom" textRotation="0" wrapText="false" indent="0" shrinkToFit="false"/>
      <protection locked="true" hidden="false"/>
    </xf>
    <xf numFmtId="164" fontId="43" fillId="0"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EFEFEF"/>
          <bgColor rgb="FF000000"/>
        </patternFill>
      </fill>
    </dxf>
    <dxf>
      <fill>
        <patternFill patternType="solid">
          <fgColor rgb="FFF6F9D4"/>
          <bgColor rgb="FF000000"/>
        </patternFill>
      </fill>
    </dxf>
    <dxf>
      <fill>
        <patternFill patternType="solid">
          <fgColor rgb="FFF9EBEE"/>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C3F9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6F9D4"/>
      <rgbColor rgb="FFEFEF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3F3"/>
      <rgbColor rgb="FFC3F9C2"/>
      <rgbColor rgb="FFF8F8F8"/>
      <rgbColor rgb="FFAED8FF"/>
      <rgbColor rgb="FFFFBDE1"/>
      <rgbColor rgb="FFF9EBEE"/>
      <rgbColor rgb="FFFCE5CD"/>
      <rgbColor rgb="FF4A86E8"/>
      <rgbColor rgb="FF33CCCC"/>
      <rgbColor rgb="FF99CC00"/>
      <rgbColor rgb="FFFFCC00"/>
      <rgbColor rgb="FFFF9900"/>
      <rgbColor rgb="FFFF6600"/>
      <rgbColor rgb="FF666699"/>
      <rgbColor rgb="FF969696"/>
      <rgbColor rgb="FF003366"/>
      <rgbColor rgb="FF6AA84F"/>
      <rgbColor rgb="FF003300"/>
      <rgbColor rgb="FF333300"/>
      <rgbColor rgb="FFA61C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11</xdr:col>
      <xdr:colOff>114480</xdr:colOff>
      <xdr:row>1</xdr:row>
      <xdr:rowOff>114480</xdr:rowOff>
    </xdr:from>
    <xdr:to>
      <xdr:col>14</xdr:col>
      <xdr:colOff>16560</xdr:colOff>
      <xdr:row>7</xdr:row>
      <xdr:rowOff>207720</xdr:rowOff>
    </xdr:to>
    <xdr:pic>
      <xdr:nvPicPr>
        <xdr:cNvPr id="1" name="image1.png"/>
        <xdr:cNvPicPr/>
      </xdr:nvPicPr>
      <xdr:blipFill>
        <a:blip r:embed="rId1"/>
        <a:stretch/>
      </xdr:blipFill>
      <xdr:spPr>
        <a:xfrm>
          <a:off x="7020720" y="676440"/>
          <a:ext cx="1542240" cy="1293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ftda.org/gh15ss" TargetMode="External"/><Relationship Id="rId2" Type="http://schemas.openxmlformats.org/officeDocument/2006/relationships/hyperlink" Target="http://www.wftda.com/" TargetMode="External"/><Relationship Id="rId3" Type="http://schemas.openxmlformats.org/officeDocument/2006/relationships/hyperlink" Target="http://www.mensrollerderbyassociation.co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74" activeCellId="0" sqref="A74"/>
    </sheetView>
  </sheetViews>
  <sheetFormatPr defaultColWidth="11.53515625" defaultRowHeight="15.75" customHeight="true" zeroHeight="false" outlineLevelRow="0" outlineLevelCol="0"/>
  <cols>
    <col collapsed="false" customWidth="true" hidden="false" outlineLevel="0" max="1" min="1" style="1" width="8.01"/>
    <col collapsed="false" customWidth="true" hidden="false" outlineLevel="0" max="2" min="2" style="1" width="15.51"/>
    <col collapsed="false" customWidth="true" hidden="false" outlineLevel="0" max="3" min="3" style="1" width="13.64"/>
    <col collapsed="false" customWidth="true" hidden="false" outlineLevel="0" max="4" min="4" style="1" width="16.02"/>
    <col collapsed="false" customWidth="true" hidden="false" outlineLevel="0" max="5" min="5" style="1" width="18.65"/>
    <col collapsed="false" customWidth="true" hidden="false" outlineLevel="0" max="6" min="6" style="1" width="11.12"/>
    <col collapsed="false" customWidth="true" hidden="false" outlineLevel="0" max="7" min="7" style="1" width="8.15"/>
    <col collapsed="false" customWidth="true" hidden="false" outlineLevel="0" max="8" min="8" style="1" width="8.88"/>
    <col collapsed="false" customWidth="true" hidden="false" outlineLevel="0" max="9" min="9" style="1" width="13.02"/>
    <col collapsed="false" customWidth="true" hidden="false" outlineLevel="0" max="10" min="10" style="1" width="11.64"/>
    <col collapsed="false" customWidth="true" hidden="false" outlineLevel="0" max="11" min="11" style="1" width="11.89"/>
    <col collapsed="false" customWidth="true" hidden="false" outlineLevel="0" max="1024" min="12" style="1" width="12.64"/>
  </cols>
  <sheetData>
    <row r="1" customFormat="false" ht="52.5" hidden="false" customHeight="true" outlineLevel="0" collapsed="false">
      <c r="A1" s="2" t="str">
        <f aca="false">IFERROR(__xludf.dummyfunction("IMPORTRANGE(""1V5OIElI2MQo07KSlDqNMWMvWuTLDbyT-YC4EEx4A3Gw"", ""Live Instructions!A1:K123"")"),"Roller Derby Officiating Game History")</f>
        <v>Roller Derby Officiating Game History</v>
      </c>
      <c r="B1" s="2"/>
      <c r="C1" s="2"/>
      <c r="D1" s="2"/>
      <c r="E1" s="2"/>
      <c r="F1" s="2"/>
      <c r="G1" s="2"/>
      <c r="H1" s="2"/>
      <c r="I1" s="2"/>
      <c r="J1" s="3" t="str">
        <f aca="false">IFERROR(__xludf.dummyfunction("""COMPUTED_VALUE"""),"")</f>
        <v/>
      </c>
      <c r="K1" s="4" t="str">
        <f aca="false">IFERROR(__xludf.dummyfunction("""COMPUTED_VALUE"""),"")</f>
        <v/>
      </c>
    </row>
    <row r="2" customFormat="false" ht="16.5" hidden="false" customHeight="true" outlineLevel="0" collapsed="false">
      <c r="A2" s="5" t="str">
        <f aca="false">IFERROR(__xludf.dummyfunction("""COMPUTED_VALUE"""),"Any roller derby Official may use this form. Use of this form does not imply affiliation with a WFTDA or MRDA league.")</f>
        <v>Any roller derby Official may use this form. Use of this form does not imply affiliation with a WFTDA or MRDA league.</v>
      </c>
      <c r="B2" s="5"/>
      <c r="C2" s="5"/>
      <c r="D2" s="5"/>
      <c r="E2" s="5"/>
      <c r="F2" s="5"/>
      <c r="G2" s="5"/>
      <c r="H2" s="5"/>
      <c r="I2" s="5"/>
      <c r="J2" s="5"/>
      <c r="K2" s="5"/>
    </row>
    <row r="3" customFormat="false" ht="16.5" hidden="false" customHeight="true" outlineLevel="0" collapsed="false">
      <c r="A3" s="6"/>
      <c r="B3" s="6"/>
      <c r="C3" s="6"/>
      <c r="D3" s="6"/>
      <c r="E3" s="6"/>
      <c r="F3" s="6"/>
      <c r="G3" s="6"/>
      <c r="H3" s="6"/>
      <c r="I3" s="6"/>
      <c r="J3" s="6"/>
      <c r="K3" s="6"/>
    </row>
    <row r="4" customFormat="false" ht="15.75" hidden="false" customHeight="false" outlineLevel="0" collapsed="false">
      <c r="A4" s="7" t="str">
        <f aca="false">IFERROR(__xludf.dummyfunction("""COMPUTED_VALUE"""),"How to use this form")</f>
        <v>How to use this form</v>
      </c>
      <c r="B4" s="7"/>
      <c r="C4" s="7"/>
      <c r="D4" s="7"/>
      <c r="E4" s="7"/>
      <c r="F4" s="7"/>
      <c r="G4" s="7"/>
      <c r="H4" s="7"/>
      <c r="I4" s="7"/>
      <c r="J4" s="7"/>
      <c r="K4" s="7"/>
    </row>
    <row r="5" customFormat="false" ht="15.75" hidden="false" customHeight="false" outlineLevel="0" collapsed="false">
      <c r="A5" s="8" t="str">
        <f aca="false">IFERROR(__xludf.dummyfunction("""COMPUTED_VALUE"""),"•  Make a copy of this Google document (File &gt; Make a Copy ...) and name in the following format: ")</f>
        <v>•  Make a copy of this Google document (File &gt; Make a Copy ...) and name in the following format: </v>
      </c>
      <c r="B5" s="8"/>
      <c r="C5" s="8"/>
      <c r="D5" s="8"/>
      <c r="E5" s="8"/>
      <c r="F5" s="9" t="str">
        <f aca="false">IFERROR(__xludf.dummyfunction("""COMPUTED_VALUE"""),"Officiating Name - Game History")</f>
        <v>Officiating Name - Game History</v>
      </c>
      <c r="G5" s="9"/>
      <c r="H5" s="9"/>
      <c r="I5" s="10" t="str">
        <f aca="false">IFERROR(__xludf.dummyfunction("""COMPUTED_VALUE"""),"(Example: Jane Q Derby - Game History)")</f>
        <v>(Example: Jane Q Derby - Game History)</v>
      </c>
      <c r="K5" s="11"/>
    </row>
    <row r="6" customFormat="false" ht="15.75" hidden="false" customHeight="false" outlineLevel="0" collapsed="false">
      <c r="A6" s="11" t="str">
        <f aca="false">IFERROR(__xludf.dummyfunction("""COMPUTED_VALUE"""),"•  Review this sample résumé to see examples of the below instructions:")</f>
        <v>•  Review this sample résumé to see examples of the below instructions:</v>
      </c>
      <c r="B6" s="12"/>
      <c r="C6" s="12"/>
      <c r="D6" s="12"/>
      <c r="E6" s="13" t="str">
        <f aca="false">IFERROR(__xludf.dummyfunction("""COMPUTED_VALUE"""),"http://wftda.org/gh15ss")</f>
        <v>http://wftda.org/gh15ss</v>
      </c>
      <c r="F6" s="12"/>
      <c r="G6" s="12"/>
      <c r="H6" s="12"/>
      <c r="I6" s="12"/>
      <c r="J6" s="12"/>
      <c r="K6" s="11"/>
    </row>
    <row r="7" customFormat="false" ht="15.75" hidden="false" customHeight="false" outlineLevel="0" collapsed="false">
      <c r="A7" s="11"/>
      <c r="B7" s="12"/>
      <c r="C7" s="12"/>
      <c r="D7" s="12"/>
      <c r="E7" s="12"/>
      <c r="F7" s="12"/>
      <c r="G7" s="12"/>
      <c r="H7" s="12"/>
      <c r="I7" s="12"/>
      <c r="J7" s="12"/>
      <c r="K7" s="11"/>
    </row>
    <row r="8" customFormat="false" ht="15.75" hidden="false" customHeight="false" outlineLevel="0" collapsed="false">
      <c r="A8" s="14" t="str">
        <f aca="false">IFERROR(__xludf.dummyfunction("""COMPUTED_VALUE"""),"Instructions")</f>
        <v>Instructions</v>
      </c>
      <c r="B8" s="14"/>
      <c r="C8" s="14"/>
      <c r="D8" s="14"/>
      <c r="E8" s="14"/>
      <c r="F8" s="14"/>
      <c r="G8" s="14"/>
      <c r="H8" s="14"/>
      <c r="I8" s="14"/>
      <c r="J8" s="14"/>
      <c r="K8" s="14"/>
    </row>
    <row r="9" customFormat="false" ht="15.75" hidden="false" customHeight="false" outlineLevel="0" collapsed="false">
      <c r="A9" s="15" t="str">
        <f aca="false">IFERROR(__xludf.dummyfunction("""COMPUTED_VALUE"""),"•  DON'T DELETE ME! I'M IMPORTANT! Information on this tab is referenced by the other tabs in this Game History.")</f>
        <v>•  DON'T DELETE ME! I'M IMPORTANT! Information on this tab is referenced by the other tabs in this Game History.</v>
      </c>
      <c r="B9" s="15"/>
      <c r="C9" s="15"/>
      <c r="D9" s="15"/>
      <c r="E9" s="15"/>
      <c r="F9" s="15"/>
      <c r="G9" s="15"/>
      <c r="H9" s="15"/>
      <c r="I9" s="15"/>
      <c r="J9" s="15"/>
      <c r="K9" s="15"/>
    </row>
    <row r="10" customFormat="false" ht="15.75" hidden="false" customHeight="false" outlineLevel="0" collapsed="false">
      <c r="A10" s="16" t="str">
        <f aca="false">IFERROR(__xludf.dummyfunction("""COMPUTED_VALUE"""),"•  Once you feel you have an adequate understanding of how to use this document, hide this tab by selecting the drop-down arrow at the right of the tab and select ""Hide sheet"".")</f>
        <v>•  Once you feel you have an adequate understanding of how to use this document, hide this tab by selecting the drop-down arrow at the right of the tab and select "Hide sheet".</v>
      </c>
      <c r="B10" s="16"/>
      <c r="C10" s="16"/>
      <c r="D10" s="16"/>
      <c r="E10" s="16"/>
      <c r="F10" s="16"/>
      <c r="G10" s="16"/>
      <c r="H10" s="16"/>
      <c r="I10" s="16"/>
      <c r="J10" s="16"/>
      <c r="K10" s="16"/>
    </row>
    <row r="11" customFormat="false" ht="15.75" hidden="false" customHeight="false" outlineLevel="0" collapsed="false">
      <c r="A11" s="14"/>
      <c r="B11" s="14"/>
      <c r="C11" s="14"/>
      <c r="D11" s="14"/>
      <c r="E11" s="14"/>
      <c r="F11" s="14"/>
      <c r="G11" s="14"/>
      <c r="H11" s="14"/>
      <c r="I11" s="14"/>
      <c r="J11" s="14"/>
      <c r="K11" s="14"/>
    </row>
    <row r="12" customFormat="false" ht="15.75" hidden="false" customHeight="false" outlineLevel="0" collapsed="false">
      <c r="A12" s="7" t="str">
        <f aca="false">IFERROR(__xludf.dummyfunction("""COMPUTED_VALUE"""),"Summary")</f>
        <v>Summary</v>
      </c>
      <c r="B12" s="7"/>
      <c r="C12" s="7"/>
      <c r="D12" s="7"/>
      <c r="E12" s="7"/>
      <c r="F12" s="7"/>
      <c r="G12" s="7"/>
      <c r="H12" s="7"/>
      <c r="I12" s="7"/>
      <c r="J12" s="7"/>
      <c r="K12" s="7"/>
    </row>
    <row r="13" customFormat="false" ht="15.75" hidden="false" customHeight="false" outlineLevel="0" collapsed="false">
      <c r="A13" s="17" t="str">
        <f aca="false">IFERROR(__xludf.dummyfunction("""COMPUTED_VALUE"""),"•  The Summary page is a snapshot of your officiating history in the WFTDA and MRDA")</f>
        <v>•  The Summary page is a snapshot of your officiating history in the WFTDA and MRDA</v>
      </c>
      <c r="B13" s="17"/>
      <c r="C13" s="17"/>
      <c r="D13" s="17"/>
      <c r="E13" s="17"/>
      <c r="F13" s="17"/>
      <c r="G13" s="17"/>
      <c r="H13" s="17"/>
      <c r="I13" s="17"/>
      <c r="J13" s="17"/>
      <c r="K13" s="17"/>
    </row>
    <row r="14" customFormat="false" ht="15.75" hidden="false" customHeight="false" outlineLevel="0" collapsed="false">
      <c r="A14" s="17" t="str">
        <f aca="false">IFERROR(__xludf.dummyfunction("""COMPUTED_VALUE"""),"•  Complete the personal information in rows 3 through 8.")</f>
        <v>•  Complete the personal information in rows 3 through 8.</v>
      </c>
      <c r="B14" s="17"/>
      <c r="C14" s="17"/>
      <c r="D14" s="17"/>
      <c r="E14" s="17"/>
      <c r="F14" s="17"/>
      <c r="G14" s="17"/>
      <c r="H14" s="17"/>
      <c r="I14" s="17"/>
      <c r="J14" s="17"/>
      <c r="K14" s="17"/>
    </row>
    <row r="15" customFormat="false" ht="15.75" hidden="false" customHeight="false" outlineLevel="0" collapsed="false">
      <c r="A15" s="17" t="str">
        <f aca="false">IFERROR(__xludf.dummyfunction("""COMPUTED_VALUE"""),"•  Click on the pink ""Insert Photo Here"" image and choose ""Replace Image..."" in the available drop-down menu. To resize, hold the Shift key and drag the bottom right corner of image.")</f>
        <v>•  Click on the pink "Insert Photo Here" image and choose "Replace Image..." in the available drop-down menu. To resize, hold the Shift key and drag the bottom right corner of image.</v>
      </c>
      <c r="B15" s="17"/>
      <c r="C15" s="17"/>
      <c r="D15" s="17"/>
      <c r="E15" s="17"/>
      <c r="F15" s="17"/>
      <c r="G15" s="17"/>
      <c r="H15" s="17"/>
      <c r="I15" s="17"/>
      <c r="J15" s="17"/>
      <c r="K15" s="17"/>
    </row>
    <row r="16" customFormat="false" ht="15.75" hidden="false" customHeight="false" outlineLevel="0" collapsed="false">
      <c r="A16" s="17" t="str">
        <f aca="false">IFERROR(__xludf.dummyfunction("""COMPUTED_VALUE"""),"•  Enter the details for any Officiating Clinics attended in their respective association tables. Specify any Ref- or NSO-focused training, the city and state/province, and the year attended.")</f>
        <v>•  Enter the details for any Officiating Clinics attended in their respective association tables. Specify any Ref- or NSO-focused training, the city and state/province, and the year attended.</v>
      </c>
      <c r="B16" s="17"/>
      <c r="C16" s="17"/>
      <c r="D16" s="17"/>
      <c r="E16" s="17"/>
      <c r="F16" s="17"/>
      <c r="G16" s="17"/>
      <c r="H16" s="17"/>
      <c r="I16" s="17"/>
      <c r="J16" s="17"/>
      <c r="K16" s="17"/>
    </row>
    <row r="17" customFormat="false" ht="15.75" hidden="false" customHeight="false" outlineLevel="0" collapsed="false">
      <c r="A17" s="17" t="str">
        <f aca="false">IFERROR(__xludf.dummyfunction("""COMPUTED_VALUE"""),"•  Do not alter any other data below line 8. This information is automatically generated from the Game History. Making changes here will break your document formulas.")</f>
        <v>•  Do not alter any other data below line 8. This information is automatically generated from the Game History. Making changes here will break your document formulas.</v>
      </c>
      <c r="B17" s="17"/>
      <c r="C17" s="17"/>
      <c r="D17" s="17"/>
      <c r="E17" s="17"/>
      <c r="F17" s="17"/>
      <c r="G17" s="17"/>
      <c r="H17" s="17"/>
      <c r="I17" s="17"/>
      <c r="J17" s="17"/>
      <c r="K17" s="17"/>
    </row>
    <row r="18" customFormat="false" ht="15.75" hidden="false" customHeight="false" outlineLevel="0" collapsed="false">
      <c r="A18" s="18"/>
      <c r="B18" s="18"/>
      <c r="C18" s="18"/>
      <c r="D18" s="18"/>
      <c r="E18" s="18"/>
      <c r="F18" s="18"/>
      <c r="G18" s="18"/>
      <c r="H18" s="18"/>
      <c r="I18" s="18"/>
      <c r="J18" s="18"/>
      <c r="K18" s="18"/>
    </row>
    <row r="19" customFormat="false" ht="15.75" hidden="false" customHeight="false" outlineLevel="0" collapsed="false">
      <c r="A19" s="7" t="str">
        <f aca="false">IFERROR(__xludf.dummyfunction("""COMPUTED_VALUE"""),"Game History")</f>
        <v>Game History</v>
      </c>
      <c r="B19" s="7"/>
      <c r="C19" s="7"/>
      <c r="D19" s="7"/>
      <c r="E19" s="7"/>
      <c r="F19" s="7"/>
      <c r="G19" s="7"/>
      <c r="H19" s="7"/>
      <c r="I19" s="7"/>
      <c r="J19" s="7"/>
      <c r="K19" s="7"/>
    </row>
    <row r="20" customFormat="false" ht="15.75" hidden="false" customHeight="false" outlineLevel="0" collapsed="false">
      <c r="A20" s="19" t="str">
        <f aca="false">IFERROR(__xludf.dummyfunction("""COMPUTED_VALUE"""),"Event Details -")</f>
        <v>Event Details -</v>
      </c>
      <c r="B20" s="20"/>
      <c r="C20" s="20"/>
      <c r="D20" s="20"/>
      <c r="E20" s="21"/>
      <c r="F20" s="21"/>
      <c r="G20" s="21"/>
      <c r="H20" s="21"/>
      <c r="I20" s="21"/>
      <c r="J20" s="21"/>
      <c r="K20" s="21"/>
    </row>
    <row r="21" customFormat="false" ht="15.75" hidden="false" customHeight="false" outlineLevel="0" collapsed="false">
      <c r="A21" s="17" t="str">
        <f aca="false">IFERROR(__xludf.dummyfunction("""COMPUTED_VALUE"""),"•  DATE: Add new games at the top of your game history (above row 4). Format the date as YYYY-MM-DD. (This format is already set, so do not change it.)")</f>
        <v>•  DATE: Add new games at the top of your game history (above row 4). Format the date as YYYY-MM-DD. (This format is already set, so do not change it.)</v>
      </c>
      <c r="B21" s="17"/>
      <c r="C21" s="17"/>
      <c r="D21" s="17"/>
      <c r="E21" s="17"/>
      <c r="F21" s="17"/>
      <c r="G21" s="17"/>
      <c r="H21" s="17"/>
      <c r="I21" s="17"/>
      <c r="J21" s="17"/>
      <c r="K21" s="17"/>
    </row>
    <row r="22" customFormat="false" ht="15.75" hidden="false" customHeight="false" outlineLevel="0" collapsed="false">
      <c r="A22" s="17" t="str">
        <f aca="false">IFERROR(__xludf.dummyfunction("""COMPUTED_VALUE"""),"•  TOURNAMENT: Enter the name of any multi-day tournament here. For all other games, leave this field blank.")</f>
        <v>•  TOURNAMENT: Enter the name of any multi-day tournament here. For all other games, leave this field blank.</v>
      </c>
      <c r="B22" s="17"/>
      <c r="C22" s="17"/>
      <c r="D22" s="17"/>
      <c r="E22" s="17"/>
      <c r="F22" s="17"/>
      <c r="G22" s="17"/>
      <c r="H22" s="17"/>
      <c r="I22" s="17"/>
      <c r="J22" s="17"/>
      <c r="K22" s="17"/>
    </row>
    <row r="23" customFormat="false" ht="15.75" hidden="false" customHeight="false" outlineLevel="0" collapsed="false">
      <c r="A23" s="22"/>
      <c r="B23" s="22" t="str">
        <f aca="false">IFERROR(__xludf.dummyfunction("""COMPUTED_VALUE"""),"◦  If you were a Tournament Head Official or Games Officer, make one entry for the entire tournament rather than listing all the games held during that tournament.")</f>
        <v>◦  If you were a Tournament Head Official or Games Officer, make one entry for the entire tournament rather than listing all the games held during that tournament.</v>
      </c>
      <c r="C23" s="21"/>
      <c r="D23" s="21"/>
      <c r="E23" s="21"/>
      <c r="F23" s="21"/>
      <c r="G23" s="21"/>
      <c r="H23" s="21"/>
      <c r="I23" s="21"/>
      <c r="J23" s="21"/>
      <c r="K23" s="21"/>
    </row>
    <row r="24" customFormat="false" ht="15.75" hidden="false" customHeight="false" outlineLevel="0" collapsed="false">
      <c r="A24" s="17" t="str">
        <f aca="false">IFERROR(__xludf.dummyfunction("""COMPUTED_VALUE"""),"•  LOCATION: Enter the venue name and geographical location (city and state/province or, when outside North America, city and country).")</f>
        <v>•  LOCATION: Enter the venue name and geographical location (city and state/province or, when outside North America, city and country).</v>
      </c>
      <c r="B24" s="17"/>
      <c r="C24" s="17"/>
      <c r="D24" s="17"/>
      <c r="E24" s="17"/>
      <c r="F24" s="17"/>
      <c r="G24" s="17"/>
      <c r="H24" s="17"/>
      <c r="I24" s="17"/>
      <c r="J24" s="17"/>
      <c r="K24" s="17"/>
    </row>
    <row r="25" customFormat="false" ht="15.75" hidden="false" customHeight="false" outlineLevel="0" collapsed="false">
      <c r="A25" s="19"/>
      <c r="B25" s="21"/>
      <c r="C25" s="21"/>
      <c r="D25" s="21"/>
      <c r="E25" s="21"/>
      <c r="F25" s="21"/>
      <c r="G25" s="21"/>
      <c r="H25" s="21"/>
      <c r="I25" s="21"/>
      <c r="J25" s="21"/>
      <c r="K25" s="21"/>
    </row>
    <row r="26" customFormat="false" ht="15.75" hidden="false" customHeight="false" outlineLevel="0" collapsed="false">
      <c r="A26" s="19" t="str">
        <f aca="false">IFERROR(__xludf.dummyfunction("""COMPUTED_VALUE"""),"Leagues and Teams -")</f>
        <v>Leagues and Teams -</v>
      </c>
      <c r="B26" s="21"/>
      <c r="C26" s="21"/>
      <c r="D26" s="21"/>
      <c r="E26" s="21"/>
      <c r="F26" s="21"/>
      <c r="G26" s="21"/>
      <c r="H26" s="21"/>
      <c r="I26" s="21"/>
      <c r="J26" s="21"/>
      <c r="K26" s="21"/>
    </row>
    <row r="27" customFormat="false" ht="15.75" hidden="false" customHeight="false" outlineLevel="0" collapsed="false">
      <c r="A27" s="22" t="str">
        <f aca="false">IFERROR(__xludf.dummyfunction("""COMPUTED_VALUE"""),"•  In all instances, enter the full name of the league. Do not abbreviate as numerous leagues have the same initials.")</f>
        <v>•  In all instances, enter the full name of the league. Do not abbreviate as numerous leagues have the same initials.</v>
      </c>
      <c r="B27" s="21"/>
      <c r="C27" s="21"/>
      <c r="D27" s="21"/>
      <c r="E27" s="21"/>
      <c r="F27" s="21"/>
      <c r="G27" s="21"/>
      <c r="H27" s="21"/>
      <c r="I27" s="21"/>
      <c r="J27" s="21"/>
      <c r="K27" s="21"/>
    </row>
    <row r="28" customFormat="false" ht="15.75" hidden="false" customHeight="false" outlineLevel="0" collapsed="false">
      <c r="A28" s="17" t="str">
        <f aca="false">IFERROR(__xludf.dummyfunction("""COMPUTED_VALUE"""),"•  HOST LEAGUE: Enter the full name of the league hosting the game. This is often determined in the game contract, so do not presume based on the game location.")</f>
        <v>•  HOST LEAGUE: Enter the full name of the league hosting the game. This is often determined in the game contract, so do not presume based on the game location.</v>
      </c>
      <c r="B28" s="17"/>
      <c r="C28" s="17"/>
      <c r="D28" s="17"/>
      <c r="E28" s="17"/>
      <c r="F28" s="17"/>
      <c r="G28" s="17"/>
      <c r="H28" s="17"/>
      <c r="I28" s="17"/>
      <c r="J28" s="17"/>
      <c r="K28" s="17"/>
    </row>
    <row r="29" customFormat="false" ht="35.05" hidden="false" customHeight="false" outlineLevel="0" collapsed="false">
      <c r="A29" s="23" t="str">
        <f aca="false">IFERROR(__xludf.dummyfunction("""COMPUTED_VALUE"""),"•  HOME TEAM/HIGHER SEED: Enter the full home league name and its team playing. Host Leagues are considered the home team if they are playing (unless specified otherwise in the game contract). If the Host League is not playing, the higher ranked team is c"&amp;"onsidered the home team (unless specified otherwise in the game contract).")</f>
        <v>•  HOME TEAM/HIGHER SEED: Enter the full home league name and its team playing. Host Leagues are considered the home team if they are playing (unless specified otherwise in the game contract). If the Host League is not playing, the higher ranked team is considered the home team (unless specified otherwise in the game contract).</v>
      </c>
      <c r="B29" s="23"/>
      <c r="C29" s="23"/>
      <c r="D29" s="23"/>
      <c r="E29" s="23"/>
      <c r="F29" s="23"/>
      <c r="G29" s="23"/>
      <c r="H29" s="23"/>
      <c r="I29" s="23"/>
      <c r="J29" s="23"/>
      <c r="K29" s="23"/>
    </row>
    <row r="30" customFormat="false" ht="15.75" hidden="false" customHeight="false" outlineLevel="0" collapsed="false">
      <c r="A30" s="21"/>
      <c r="B30" s="22" t="str">
        <f aca="false">IFERROR(__xludf.dummyfunction("""COMPUTED_VALUE"""),"◦  If the game was part of a tournament and you were a Head Official or Games Officer, leave this cell blank. Note the total number of games in the Notes cell.")</f>
        <v>◦  If the game was part of a tournament and you were a Head Official or Games Officer, leave this cell blank. Note the total number of games in the Notes cell.</v>
      </c>
      <c r="C30" s="24"/>
      <c r="D30" s="24"/>
      <c r="E30" s="24"/>
      <c r="F30" s="24"/>
      <c r="G30" s="24"/>
      <c r="H30" s="24"/>
      <c r="I30" s="24"/>
      <c r="J30" s="24"/>
      <c r="K30" s="24"/>
    </row>
    <row r="31" customFormat="false" ht="23.85" hidden="false" customHeight="false" outlineLevel="0" collapsed="false">
      <c r="A31" s="23" t="str">
        <f aca="false">IFERROR(__xludf.dummyfunction("""COMPUTED_VALUE"""),"•  VISITING TEAM/LOWER SEED: Enter the full visiting league name and its team playing. If the Host League is not playing, the lower ranked team is considered the visiting team (unless specified otherwise in the game contract).")</f>
        <v>•  VISITING TEAM/LOWER SEED: Enter the full visiting league name and its team playing. If the Host League is not playing, the lower ranked team is considered the visiting team (unless specified otherwise in the game contract).</v>
      </c>
      <c r="B31" s="23"/>
      <c r="C31" s="23"/>
      <c r="D31" s="23"/>
      <c r="E31" s="23"/>
      <c r="F31" s="23"/>
      <c r="G31" s="23"/>
      <c r="H31" s="23"/>
      <c r="I31" s="23"/>
      <c r="J31" s="23"/>
      <c r="K31" s="23"/>
    </row>
    <row r="32" customFormat="false" ht="15.75" hidden="false" customHeight="false" outlineLevel="0" collapsed="false">
      <c r="A32" s="21"/>
      <c r="B32" s="22" t="str">
        <f aca="false">IFERROR(__xludf.dummyfunction("""COMPUTED_VALUE"""),"◦  If the game was part of a tournament and you were a Head Official or Games Officer, leave this cell blank.")</f>
        <v>◦  If the game was part of a tournament and you were a Head Official or Games Officer, leave this cell blank.</v>
      </c>
      <c r="C32" s="21"/>
      <c r="D32" s="21"/>
      <c r="E32" s="21"/>
      <c r="F32" s="21"/>
      <c r="G32" s="21"/>
      <c r="H32" s="21"/>
      <c r="I32" s="21"/>
      <c r="J32" s="21"/>
      <c r="K32" s="21"/>
    </row>
    <row r="33" customFormat="false" ht="15.75" hidden="false" customHeight="false" outlineLevel="0" collapsed="false">
      <c r="A33" s="18"/>
      <c r="B33" s="18"/>
      <c r="C33" s="18"/>
      <c r="D33" s="18"/>
      <c r="E33" s="18"/>
      <c r="F33" s="18"/>
      <c r="G33" s="18"/>
      <c r="H33" s="18"/>
      <c r="I33" s="18"/>
      <c r="J33" s="18"/>
      <c r="K33" s="18"/>
    </row>
    <row r="34" customFormat="false" ht="15.75" hidden="false" customHeight="false" outlineLevel="0" collapsed="false">
      <c r="A34" s="19" t="str">
        <f aca="false">IFERROR(__xludf.dummyfunction("""COMPUTED_VALUE"""),"Game Specifics -")</f>
        <v>Game Specifics -</v>
      </c>
      <c r="B34" s="18"/>
      <c r="C34" s="18"/>
      <c r="D34" s="18"/>
      <c r="E34" s="18"/>
      <c r="F34" s="18"/>
      <c r="G34" s="18"/>
      <c r="H34" s="18"/>
      <c r="I34" s="18"/>
      <c r="J34" s="18"/>
      <c r="K34" s="18"/>
    </row>
    <row r="35" customFormat="false" ht="15.75" hidden="false" customHeight="false" outlineLevel="0" collapsed="false">
      <c r="A35" s="22" t="str">
        <f aca="false">IFERROR(__xludf.dummyfunction("""COMPUTED_VALUE"""),"•  The terms that can be entered in these cells are restricted. If you attempt to use abbreviations not included in the charts below, you will receive an error message.")</f>
        <v>•  The terms that can be entered in these cells are restricted. If you attempt to use abbreviations not included in the charts below, you will receive an error message.</v>
      </c>
      <c r="B35" s="18"/>
      <c r="C35" s="18"/>
      <c r="D35" s="18"/>
      <c r="E35" s="18"/>
      <c r="F35" s="18"/>
      <c r="G35" s="18"/>
      <c r="H35" s="18"/>
      <c r="I35" s="18"/>
      <c r="J35" s="18"/>
      <c r="K35" s="18"/>
    </row>
    <row r="36" customFormat="false" ht="15.75" hidden="false" customHeight="false" outlineLevel="0" collapsed="false">
      <c r="A36" s="22" t="str">
        <f aca="false">IFERROR(__xludf.dummyfunction("""COMPUTED_VALUE"""),"•  Data in these cells can be filtered so you can view more specific information within the game history. Use the drop-down menu in the column head to define your filter.")</f>
        <v>•  Data in these cells can be filtered so you can view more specific information within the game history. Use the drop-down menu in the column head to define your filter.</v>
      </c>
      <c r="B36" s="18"/>
      <c r="C36" s="18"/>
      <c r="D36" s="18"/>
      <c r="E36" s="18"/>
      <c r="F36" s="18"/>
      <c r="G36" s="18"/>
      <c r="H36" s="18"/>
      <c r="I36" s="18"/>
      <c r="J36" s="18"/>
      <c r="K36" s="18"/>
    </row>
    <row r="37" customFormat="false" ht="15.75" hidden="false" customHeight="false" outlineLevel="0" collapsed="false">
      <c r="A37" s="22" t="str">
        <f aca="false">IFERROR(__xludf.dummyfunction("""COMPUTED_VALUE"""),"•  ASSOC: List the association abbreviation as defined in the Association chart below.")</f>
        <v>•  ASSOC: List the association abbreviation as defined in the Association chart below.</v>
      </c>
      <c r="B37" s="18"/>
      <c r="C37" s="18"/>
      <c r="D37" s="18"/>
      <c r="E37" s="18"/>
      <c r="F37" s="18"/>
      <c r="G37" s="18"/>
      <c r="H37" s="18"/>
      <c r="I37" s="18"/>
      <c r="J37" s="18"/>
      <c r="K37" s="18"/>
    </row>
    <row r="38" customFormat="false" ht="23.85" hidden="false" customHeight="false" outlineLevel="0" collapsed="false">
      <c r="A38" s="22"/>
      <c r="B38" s="25" t="str">
        <f aca="false">IFERROR(__xludf.dummyfunction("""COMPUTED_VALUE"""),"◦  WFTDA: Games played between all-female teams, including WFTDA member/apprentice leagues and non-member/apprentice all-female teams that play by WFTDA rules.")</f>
        <v>◦  WFTDA: Games played between all-female teams, including WFTDA member/apprentice leagues and non-member/apprentice all-female teams that play by WFTDA rules.</v>
      </c>
      <c r="C38" s="25"/>
      <c r="D38" s="25"/>
      <c r="E38" s="25"/>
      <c r="F38" s="25"/>
      <c r="G38" s="25"/>
      <c r="H38" s="25"/>
      <c r="I38" s="25"/>
      <c r="J38" s="25"/>
      <c r="K38" s="25"/>
    </row>
    <row r="39" customFormat="false" ht="23.85" hidden="false" customHeight="false" outlineLevel="0" collapsed="false">
      <c r="A39" s="22"/>
      <c r="B39" s="26" t="str">
        <f aca="false">IFERROR(__xludf.dummyfunction("""COMPUTED_VALUE"""),"◦  MRDA: Games played between all-male teams or an all-male team versus any other team as long as the game follows the current MRDA rules.")</f>
        <v>◦  MRDA: Games played between all-male teams or an all-male team versus any other team as long as the game follows the current MRDA rules.</v>
      </c>
      <c r="C39" s="26"/>
      <c r="D39" s="26"/>
      <c r="E39" s="26"/>
      <c r="F39" s="26"/>
      <c r="G39" s="26"/>
      <c r="H39" s="26"/>
      <c r="I39" s="26"/>
      <c r="J39" s="26"/>
      <c r="K39" s="26"/>
    </row>
    <row r="40" customFormat="false" ht="35.05" hidden="false" customHeight="false" outlineLevel="0" collapsed="false">
      <c r="A40" s="27"/>
      <c r="B40" s="25" t="str">
        <f aca="false">IFERROR(__xludf.dummyfunction("""COMPUTED_VALUE"""),"◦  Flat Track-rules games played by non-association teams should be separated into the most appropriate association category. Co-ed games are marked as an ""Other"" game type for WFTDA and ""Regulation"" for MRDA. If you are unable to determine to your be"&amp;"st judgment WFTDA or MRDA, default to MRDA.")</f>
        <v>◦  Flat Track-rules games played by non-association teams should be separated into the most appropriate association category. Co-ed games are marked as an "Other" game type for WFTDA and "Regulation" for MRDA. If you are unable to determine to your best judgment WFTDA or MRDA, default to MRDA.</v>
      </c>
      <c r="C40" s="25"/>
      <c r="D40" s="25"/>
      <c r="E40" s="25"/>
      <c r="F40" s="25"/>
      <c r="G40" s="25"/>
      <c r="H40" s="25"/>
      <c r="I40" s="25"/>
      <c r="J40" s="25"/>
      <c r="K40" s="25"/>
    </row>
    <row r="41" customFormat="false" ht="15.75" hidden="false" customHeight="false" outlineLevel="0" collapsed="false">
      <c r="A41" s="28" t="str">
        <f aca="false">IFERROR(__xludf.dummyfunction("""COMPUTED_VALUE"""),"•  TYPE: List the type of game played as defined in the Game Type chart below.")</f>
        <v>•  TYPE: List the type of game played as defined in the Game Type chart below.</v>
      </c>
      <c r="B41" s="18"/>
      <c r="C41" s="18"/>
      <c r="D41" s="18"/>
      <c r="E41" s="18"/>
      <c r="F41" s="18"/>
      <c r="G41" s="18"/>
      <c r="H41" s="18"/>
      <c r="I41" s="18"/>
      <c r="J41" s="18"/>
      <c r="K41" s="18"/>
    </row>
    <row r="42" customFormat="false" ht="15.75" hidden="false" customHeight="false" outlineLevel="0" collapsed="false">
      <c r="A42" s="27"/>
      <c r="B42" s="29" t="str">
        <f aca="false">IFERROR(__xludf.dummyfunction("""COMPUTED_VALUE"""),"◦  If the game does not conform to any of the defined Game Types listed in the chart below, list the game on the Other History tab.")</f>
        <v>◦  If the game does not conform to any of the defined Game Types listed in the chart below, list the game on the Other History tab.</v>
      </c>
      <c r="C42" s="18"/>
      <c r="D42" s="18"/>
      <c r="E42" s="18"/>
      <c r="F42" s="18"/>
      <c r="G42" s="18"/>
      <c r="H42" s="18"/>
      <c r="I42" s="18"/>
      <c r="J42" s="18"/>
      <c r="K42" s="18"/>
    </row>
    <row r="43" customFormat="false" ht="15.75" hidden="false" customHeight="false" outlineLevel="0" collapsed="false">
      <c r="A43" s="18" t="str">
        <f aca="false">IFERROR(__xludf.dummyfunction("""COMPUTED_VALUE"""),"•  POSITION: List the position code of your role as defined in the Positions chart below. If you were a Head Official, enter T/C/HR or T/C/HNSO here.")</f>
        <v>•  POSITION: List the position code of your role as defined in the Positions chart below. If you were a Head Official, enter T/C/HR or T/C/HNSO here.</v>
      </c>
      <c r="B43" s="29"/>
      <c r="C43" s="18"/>
      <c r="D43" s="18"/>
      <c r="E43" s="18"/>
      <c r="F43" s="18"/>
      <c r="G43" s="18"/>
      <c r="H43" s="18"/>
      <c r="I43" s="18"/>
      <c r="J43" s="18"/>
      <c r="K43" s="18"/>
    </row>
    <row r="44" customFormat="false" ht="15.75" hidden="false" customHeight="false" outlineLevel="0" collapsed="false">
      <c r="A44" s="28" t="str">
        <f aca="false">IFERROR(__xludf.dummyfunction("""COMPUTED_VALUE"""),"•  HO 2ND POSITION (IF APPLICABLE): If you were a Head Official working in another position (such as PBM or IPR), enter the code of that second position here.")</f>
        <v>•  HO 2ND POSITION (IF APPLICABLE): If you were a Head Official working in another position (such as PBM or IPR), enter the code of that second position here.</v>
      </c>
      <c r="B44" s="18"/>
      <c r="C44" s="18"/>
      <c r="D44" s="18"/>
      <c r="E44" s="18"/>
      <c r="F44" s="18"/>
      <c r="G44" s="18"/>
      <c r="H44" s="18"/>
      <c r="I44" s="18"/>
      <c r="J44" s="18"/>
      <c r="K44" s="18"/>
    </row>
    <row r="45" customFormat="false" ht="15.75" hidden="false" customHeight="false" outlineLevel="0" collapsed="false">
      <c r="A45" s="28" t="str">
        <f aca="false">IFERROR(__xludf.dummyfunction("""COMPUTED_VALUE"""),"•  POSITIONAL SOFTWARE OPERATOR?: This pertains to positions that used Rinxter or software later endorsed to replace Rinxter (not league-coded apps). Mark this as")</f>
        <v>•  POSITIONAL SOFTWARE OPERATOR?: This pertains to positions that used Rinxter or software later endorsed to replace Rinxter (not league-coded apps). Mark this as</v>
      </c>
      <c r="B45" s="18"/>
      <c r="C45" s="18"/>
      <c r="D45" s="18"/>
      <c r="E45" s="18"/>
      <c r="F45" s="18"/>
      <c r="G45" s="18"/>
      <c r="H45" s="18"/>
      <c r="I45" s="18"/>
      <c r="J45" s="18"/>
      <c r="K45" s="18" t="str">
        <f aca="false">IFERROR(__xludf.dummyfunction("""COMPUTED_VALUE"""),"Y")</f>
        <v>Y</v>
      </c>
    </row>
    <row r="46" customFormat="false" ht="15.75" hidden="false" customHeight="false" outlineLevel="0" collapsed="false">
      <c r="A46" s="18"/>
      <c r="B46" s="18"/>
      <c r="C46" s="18"/>
      <c r="D46" s="18"/>
      <c r="E46" s="18"/>
      <c r="F46" s="18"/>
      <c r="G46" s="18"/>
      <c r="H46" s="18"/>
      <c r="I46" s="18"/>
      <c r="J46" s="18"/>
      <c r="K46" s="18"/>
    </row>
    <row r="47" customFormat="false" ht="15.75" hidden="false" customHeight="false" outlineLevel="0" collapsed="false">
      <c r="A47" s="30" t="str">
        <f aca="false">IFERROR(__xludf.dummyfunction("""COMPUTED_VALUE"""),"Head Referee/Witness, Head NSO/Witness, and Details -")</f>
        <v>Head Referee/Witness, Head NSO/Witness, and Details -</v>
      </c>
      <c r="B47" s="30"/>
      <c r="C47" s="30"/>
      <c r="D47" s="30"/>
      <c r="E47" s="30"/>
      <c r="F47" s="30"/>
      <c r="G47" s="30"/>
      <c r="H47" s="30"/>
      <c r="I47" s="30"/>
      <c r="J47" s="30"/>
      <c r="K47" s="30"/>
    </row>
    <row r="48" customFormat="false" ht="15.75" hidden="false" customHeight="false" outlineLevel="0" collapsed="false">
      <c r="A48" s="21" t="str">
        <f aca="false">IFERROR(__xludf.dummyfunction("""COMPUTED_VALUE"""),"•  HEAD REFEREE: List the name of the game Head Referee. If you were the Head Referee, list the name of a witness who can confirm your participation, such as a team captain.")</f>
        <v>•  HEAD REFEREE: List the name of the game Head Referee. If you were the Head Referee, list the name of a witness who can confirm your participation, such as a team captain.</v>
      </c>
      <c r="B48" s="21"/>
      <c r="C48" s="21"/>
      <c r="D48" s="21"/>
      <c r="E48" s="21"/>
      <c r="F48" s="21"/>
      <c r="G48" s="21"/>
      <c r="H48" s="21"/>
      <c r="I48" s="21"/>
      <c r="J48" s="21"/>
      <c r="K48" s="21"/>
    </row>
    <row r="49" customFormat="false" ht="15.75" hidden="false" customHeight="false" outlineLevel="0" collapsed="false">
      <c r="A49" s="21"/>
      <c r="B49" s="22" t="str">
        <f aca="false">IFERROR(__xludf.dummyfunction("""COMPUTED_VALUE"""),"◦  If the game was part of a tournament, list the Tournament Head Referee in this cell and reference the Crew Head Referee in the Notes section.")</f>
        <v>◦  If the game was part of a tournament, list the Tournament Head Referee in this cell and reference the Crew Head Referee in the Notes section.</v>
      </c>
      <c r="C49" s="21"/>
      <c r="D49" s="21"/>
      <c r="E49" s="21"/>
      <c r="F49" s="21"/>
      <c r="G49" s="21"/>
      <c r="H49" s="21"/>
      <c r="I49" s="21"/>
      <c r="J49" s="21"/>
      <c r="K49" s="21"/>
    </row>
    <row r="50" customFormat="false" ht="15.75" hidden="false" customHeight="false" outlineLevel="0" collapsed="false">
      <c r="A50" s="31" t="str">
        <f aca="false">IFERROR(__xludf.dummyfunction("""COMPUTED_VALUE"""),"•  HEAD NSO: List the name of the game Head NSO. If you were the Head NSO, list the name of a witness who can confirm your participation, such as a team captain or league rep.")</f>
        <v>•  HEAD NSO: List the name of the game Head NSO. If you were the Head NSO, list the name of a witness who can confirm your participation, such as a team captain or league rep.</v>
      </c>
      <c r="B50" s="32"/>
      <c r="C50" s="31"/>
      <c r="D50" s="31"/>
      <c r="E50" s="31"/>
      <c r="F50" s="31"/>
      <c r="G50" s="31"/>
      <c r="H50" s="31"/>
      <c r="I50" s="31"/>
      <c r="J50" s="31"/>
      <c r="K50" s="31"/>
    </row>
    <row r="51" customFormat="false" ht="15.75" hidden="false" customHeight="false" outlineLevel="0" collapsed="false">
      <c r="A51" s="21"/>
      <c r="B51" s="22" t="str">
        <f aca="false">IFERROR(__xludf.dummyfunction("""COMPUTED_VALUE"""),"◦  If the game was part of a tournament, list the Tournament Head NSO in this cell and reference the Crew Head NSO in the Notes section.")</f>
        <v>◦  If the game was part of a tournament, list the Tournament Head NSO in this cell and reference the Crew Head NSO in the Notes section.</v>
      </c>
      <c r="C51" s="21"/>
      <c r="D51" s="21"/>
      <c r="E51" s="21"/>
      <c r="F51" s="21"/>
      <c r="G51" s="21"/>
      <c r="H51" s="21"/>
      <c r="I51" s="21"/>
      <c r="J51" s="21"/>
      <c r="K51" s="21"/>
    </row>
    <row r="52" customFormat="false" ht="15.75" hidden="false" customHeight="false" outlineLevel="0" collapsed="false">
      <c r="A52" s="21" t="str">
        <f aca="false">IFERROR(__xludf.dummyfunction("""COMPUTED_VALUE"""),"•  NOTES: Use this cell to detail any additional relevant game information.")</f>
        <v>•  NOTES: Use this cell to detail any additional relevant game information.</v>
      </c>
      <c r="B52" s="22"/>
      <c r="C52" s="21"/>
      <c r="D52" s="21"/>
      <c r="E52" s="22" t="str">
        <f aca="false">IFERROR(__xludf.dummyfunction("""COMPUTED_VALUE"""),"(Example: ""Championship Game,"" tournament details for THOs, or the reasons why the Game Type is ""Other."")")</f>
        <v>(Example: "Championship Game," tournament details for THOs, or the reasons why the Game Type is "Other.")</v>
      </c>
      <c r="F52" s="21"/>
      <c r="G52" s="21"/>
      <c r="H52" s="21"/>
      <c r="I52" s="21"/>
      <c r="J52" s="21"/>
      <c r="K52" s="21"/>
    </row>
    <row r="53" customFormat="false" ht="15.75" hidden="false" customHeight="false" outlineLevel="0" collapsed="false">
      <c r="A53" s="21"/>
      <c r="B53" s="21"/>
      <c r="C53" s="21"/>
      <c r="D53" s="21"/>
      <c r="E53" s="21"/>
      <c r="F53" s="21"/>
      <c r="G53" s="21"/>
      <c r="H53" s="21"/>
      <c r="I53" s="21"/>
      <c r="J53" s="21"/>
      <c r="K53" s="21"/>
    </row>
    <row r="54" customFormat="false" ht="15.75" hidden="false" customHeight="false" outlineLevel="0" collapsed="false">
      <c r="A54" s="33" t="str">
        <f aca="false">IFERROR(__xludf.dummyfunction("""COMPUTED_VALUE"""),"ASSOCIATIONS")</f>
        <v>ASSOCIATIONS</v>
      </c>
      <c r="B54" s="33"/>
      <c r="C54" s="33"/>
      <c r="D54" s="33"/>
      <c r="E54" s="33"/>
      <c r="F54" s="11"/>
      <c r="G54" s="33" t="str">
        <f aca="false">IFERROR(__xludf.dummyfunction("""COMPUTED_VALUE"""),"OTHER ASSOCIATIONS")</f>
        <v>OTHER ASSOCIATIONS</v>
      </c>
      <c r="H54" s="33"/>
      <c r="I54" s="33"/>
      <c r="J54" s="33"/>
      <c r="K54" s="33"/>
    </row>
    <row r="55" customFormat="false" ht="15.75" hidden="false" customHeight="false" outlineLevel="0" collapsed="false">
      <c r="A55" s="34" t="str">
        <f aca="false">IFERROR(__xludf.dummyfunction("""COMPUTED_VALUE"""),"WFTDA")</f>
        <v>WFTDA</v>
      </c>
      <c r="B55" s="34" t="str">
        <f aca="false">IFERROR(__xludf.dummyfunction("""COMPUTED_VALUE"""),"Women's Flat Track Derby Association")</f>
        <v>Women's Flat Track Derby Association</v>
      </c>
      <c r="C55" s="34"/>
      <c r="D55" s="35" t="str">
        <f aca="false">IFERROR(__xludf.dummyfunction("""COMPUTED_VALUE"""),"http://www.wftda.com/")</f>
        <v>http://www.wftda.com/</v>
      </c>
      <c r="E55" s="35"/>
      <c r="F55" s="11"/>
      <c r="G55" s="34" t="str">
        <f aca="false">IFERROR(__xludf.dummyfunction("""COMPUTED_VALUE"""),"Banked")</f>
        <v>Banked</v>
      </c>
      <c r="H55" s="34" t="str">
        <f aca="false">IFERROR(__xludf.dummyfunction("""COMPUTED_VALUE"""),"Banked Track Roller Derby")</f>
        <v>Banked Track Roller Derby</v>
      </c>
      <c r="I55" s="34"/>
      <c r="J55" s="34"/>
      <c r="K55" s="34"/>
    </row>
    <row r="56" customFormat="false" ht="15.75" hidden="false" customHeight="false" outlineLevel="0" collapsed="false">
      <c r="A56" s="36" t="str">
        <f aca="false">IFERROR(__xludf.dummyfunction("""COMPUTED_VALUE"""),"MRDA")</f>
        <v>MRDA</v>
      </c>
      <c r="B56" s="36" t="str">
        <f aca="false">IFERROR(__xludf.dummyfunction("""COMPUTED_VALUE"""),"Men's Roller Derby Association")</f>
        <v>Men's Roller Derby Association</v>
      </c>
      <c r="C56" s="36"/>
      <c r="D56" s="35" t="str">
        <f aca="false">IFERROR(__xludf.dummyfunction("""COMPUTED_VALUE"""),"http://www.mensrollerderbyassociation.com/")</f>
        <v>http://www.mensrollerderbyassociation.com/</v>
      </c>
      <c r="E56" s="35"/>
      <c r="F56" s="11"/>
      <c r="G56" s="34" t="str">
        <f aca="false">IFERROR(__xludf.dummyfunction("""COMPUTED_VALUE"""),"USARS")</f>
        <v>USARS</v>
      </c>
      <c r="H56" s="34" t="str">
        <f aca="false">IFERROR(__xludf.dummyfunction("""COMPUTED_VALUE"""),"USA Roller Sports")</f>
        <v>USA Roller Sports</v>
      </c>
      <c r="I56" s="34"/>
      <c r="J56" s="34"/>
      <c r="K56" s="34"/>
    </row>
    <row r="57" customFormat="false" ht="15.75" hidden="false" customHeight="false" outlineLevel="0" collapsed="false">
      <c r="A57" s="36" t="str">
        <f aca="false">IFERROR(__xludf.dummyfunction("""COMPUTED_VALUE"""),"Juniors")</f>
        <v>Juniors</v>
      </c>
      <c r="B57" s="36" t="str">
        <f aca="false">IFERROR(__xludf.dummyfunction("""COMPUTED_VALUE"""),"Girls, boys, or mixed/agender")</f>
        <v>Girls, boys, or mixed/agender</v>
      </c>
      <c r="C57" s="36"/>
      <c r="D57" s="34" t="str">
        <f aca="false">IFERROR(__xludf.dummyfunction("""COMPUTED_VALUE"""),"Games against or between 18yo or younger")</f>
        <v>Games against or between 18yo or younger</v>
      </c>
      <c r="E57" s="34"/>
      <c r="F57" s="11"/>
      <c r="G57" s="34" t="str">
        <f aca="false">IFERROR(__xludf.dummyfunction("""COMPUTED_VALUE"""),"MADE")</f>
        <v>MADE</v>
      </c>
      <c r="H57" s="34" t="str">
        <f aca="false">IFERROR(__xludf.dummyfunction("""COMPUTED_VALUE"""),"Modern Athletic Derby Endeavor")</f>
        <v>Modern Athletic Derby Endeavor</v>
      </c>
      <c r="I57" s="34"/>
      <c r="J57" s="34"/>
      <c r="K57" s="34"/>
    </row>
    <row r="58" customFormat="false" ht="15.75" hidden="false" customHeight="false" outlineLevel="0" collapsed="false">
      <c r="A58" s="37"/>
      <c r="B58" s="37"/>
      <c r="C58" s="37"/>
      <c r="D58" s="11"/>
      <c r="E58" s="11"/>
      <c r="F58" s="11"/>
      <c r="G58" s="11"/>
      <c r="H58" s="11"/>
      <c r="I58" s="11"/>
      <c r="J58" s="11"/>
      <c r="K58" s="11"/>
    </row>
    <row r="59" customFormat="false" ht="15.75" hidden="false" customHeight="false" outlineLevel="0" collapsed="false">
      <c r="A59" s="33" t="str">
        <f aca="false">IFERROR(__xludf.dummyfunction("""COMPUTED_VALUE"""),"GAME TYPE")</f>
        <v>GAME TYPE</v>
      </c>
      <c r="B59" s="33"/>
      <c r="C59" s="33"/>
      <c r="D59" s="33"/>
      <c r="E59" s="33"/>
      <c r="F59" s="33"/>
      <c r="G59" s="33"/>
      <c r="H59" s="33"/>
      <c r="I59" s="33"/>
      <c r="J59" s="33"/>
      <c r="K59" s="33"/>
    </row>
    <row r="60" customFormat="false" ht="15.75" hidden="false" customHeight="false" outlineLevel="0" collapsed="false">
      <c r="A60" s="36" t="str">
        <f aca="false">IFERROR(__xludf.dummyfunction("""COMPUTED_VALUE"""),"Champs")</f>
        <v>Champs</v>
      </c>
      <c r="B60" s="36" t="str">
        <f aca="false">IFERROR(__xludf.dummyfunction("""COMPUTED_VALUE"""),"Championship Tournament Games")</f>
        <v>Championship Tournament Games</v>
      </c>
      <c r="C60" s="36"/>
      <c r="D60" s="38" t="str">
        <f aca="false">IFERROR(__xludf.dummyfunction("""COMPUTED_VALUE"""),"A Sanctioned game played at an association-sponsored championship tournament.")</f>
        <v>A Sanctioned game played at an association-sponsored championship tournament.</v>
      </c>
      <c r="E60" s="38"/>
      <c r="F60" s="38"/>
      <c r="G60" s="38"/>
      <c r="H60" s="38"/>
      <c r="I60" s="38"/>
      <c r="J60" s="38"/>
      <c r="K60" s="38"/>
    </row>
    <row r="61" customFormat="false" ht="23.85" hidden="false" customHeight="false" outlineLevel="0" collapsed="false">
      <c r="A61" s="36" t="str">
        <f aca="false">IFERROR(__xludf.dummyfunction("""COMPUTED_VALUE"""),"Playoff")</f>
        <v>Playoff</v>
      </c>
      <c r="B61" s="36" t="str">
        <f aca="false">IFERROR(__xludf.dummyfunction("""COMPUTED_VALUE"""),"Playoff Tournament Games")</f>
        <v>Playoff Tournament Games</v>
      </c>
      <c r="C61" s="36"/>
      <c r="D61" s="38" t="str">
        <f aca="false">IFERROR(__xludf.dummyfunction("""COMPUTED_VALUE"""),"A Sanctioned game played at an association-sponsored tournament, such as the WFTDA Division 1 Playoffs (not the Big ""O"" or MVC).")</f>
        <v>A Sanctioned game played at an association-sponsored tournament, such as the WFTDA Division 1 Playoffs (not the Big "O" or MVC).</v>
      </c>
      <c r="E61" s="38"/>
      <c r="F61" s="38"/>
      <c r="G61" s="38"/>
      <c r="H61" s="38"/>
      <c r="I61" s="38"/>
      <c r="J61" s="38"/>
      <c r="K61" s="38"/>
    </row>
    <row r="62" customFormat="false" ht="15.75" hidden="false" customHeight="false" outlineLevel="0" collapsed="false">
      <c r="A62" s="36" t="str">
        <f aca="false">IFERROR(__xludf.dummyfunction("""COMPUTED_VALUE"""),"Sanc")</f>
        <v>Sanc</v>
      </c>
      <c r="B62" s="36" t="str">
        <f aca="false">IFERROR(__xludf.dummyfunction("""COMPUTED_VALUE"""),"Sanctioned Games")</f>
        <v>Sanctioned Games</v>
      </c>
      <c r="C62" s="36"/>
      <c r="D62" s="38" t="str">
        <f aca="false">IFERROR(__xludf.dummyfunction("""COMPUTED_VALUE"""),"A Regulation game that counts toward rankings.")</f>
        <v>A Regulation game that counts toward rankings.</v>
      </c>
      <c r="E62" s="38"/>
      <c r="F62" s="38"/>
      <c r="G62" s="38"/>
      <c r="H62" s="38"/>
      <c r="I62" s="38"/>
      <c r="J62" s="38"/>
      <c r="K62" s="38"/>
    </row>
    <row r="63" customFormat="false" ht="23.85" hidden="false" customHeight="false" outlineLevel="0" collapsed="false">
      <c r="A63" s="36" t="str">
        <f aca="false">IFERROR(__xludf.dummyfunction("""COMPUTED_VALUE"""),"Reg")</f>
        <v>Reg</v>
      </c>
      <c r="B63" s="36" t="str">
        <f aca="false">IFERROR(__xludf.dummyfunction("""COMPUTED_VALUE"""),"Regulation Games")</f>
        <v>Regulation Games</v>
      </c>
      <c r="C63" s="36"/>
      <c r="D63" s="38" t="str">
        <f aca="false">IFERROR(__xludf.dummyfunction("""COMPUTED_VALUE"""),"Games played between two member/apprentice leagues that fully follow flat track rules, but the results do not count toward rankings.")</f>
        <v>Games played between two member/apprentice leagues that fully follow flat track rules, but the results do not count toward rankings.</v>
      </c>
      <c r="E63" s="38"/>
      <c r="F63" s="38"/>
      <c r="G63" s="38"/>
      <c r="H63" s="38"/>
      <c r="I63" s="38"/>
      <c r="J63" s="38"/>
      <c r="K63" s="38"/>
    </row>
    <row r="64" customFormat="false" ht="35.05" hidden="false" customHeight="false" outlineLevel="0" collapsed="false">
      <c r="A64" s="36" t="str">
        <f aca="false">IFERROR(__xludf.dummyfunction("""COMPUTED_VALUE"""),"Other")</f>
        <v>Other</v>
      </c>
      <c r="B64" s="36" t="str">
        <f aca="false">IFERROR(__xludf.dummyfunction("""COMPUTED_VALUE"""),"Non-Regulation Games")</f>
        <v>Non-Regulation Games</v>
      </c>
      <c r="C64" s="36"/>
      <c r="D64" s="38" t="str">
        <f aca="false">IFERROR(__xludf.dummyfunction("""COMPUTED_VALUE"""),"Games played near but not exact to the rules, e.g., home teams, non-association games, challenge bouts, 20-minute periods, some co-ed games, and other variations that do not fundamentally change flat track derby. Specify the change in the Notes cell.")</f>
        <v>Games played near but not exact to the rules, e.g., home teams, non-association games, challenge bouts, 20-minute periods, some co-ed games, and other variations that do not fundamentally change flat track derby. Specify the change in the Notes cell.</v>
      </c>
      <c r="E64" s="38"/>
      <c r="F64" s="38"/>
      <c r="G64" s="38"/>
      <c r="H64" s="38"/>
      <c r="I64" s="38"/>
      <c r="J64" s="38"/>
      <c r="K64" s="38"/>
    </row>
    <row r="65" customFormat="false" ht="15.75" hidden="false" customHeight="false" outlineLevel="0" collapsed="false">
      <c r="A65" s="37"/>
      <c r="B65" s="37"/>
      <c r="C65" s="37"/>
      <c r="D65" s="11"/>
      <c r="E65" s="11"/>
      <c r="F65" s="11"/>
      <c r="G65" s="11"/>
      <c r="H65" s="11"/>
      <c r="I65" s="11"/>
      <c r="J65" s="11"/>
      <c r="K65" s="11"/>
    </row>
    <row r="66" customFormat="false" ht="15.75" hidden="false" customHeight="false" outlineLevel="0" collapsed="false">
      <c r="A66" s="33" t="str">
        <f aca="false">IFERROR(__xludf.dummyfunction("""COMPUTED_VALUE"""),"CODE")</f>
        <v>CODE</v>
      </c>
      <c r="B66" s="33" t="str">
        <f aca="false">IFERROR(__xludf.dummyfunction("""COMPUTED_VALUE"""),"POSITION")</f>
        <v>POSITION</v>
      </c>
      <c r="C66" s="33"/>
      <c r="D66" s="33" t="str">
        <f aca="false">IFERROR(__xludf.dummyfunction("""COMPUTED_VALUE"""),"DESCRIPTION")</f>
        <v>DESCRIPTION</v>
      </c>
      <c r="E66" s="33"/>
      <c r="F66" s="33"/>
      <c r="G66" s="33"/>
      <c r="H66" s="33"/>
      <c r="I66" s="33"/>
      <c r="J66" s="33"/>
      <c r="K66" s="33"/>
    </row>
    <row r="67" customFormat="false" ht="23.85" hidden="false" customHeight="false" outlineLevel="0" collapsed="false">
      <c r="A67" s="36" t="str">
        <f aca="false">IFERROR(__xludf.dummyfunction("""COMPUTED_VALUE"""),"GO")</f>
        <v>GO</v>
      </c>
      <c r="B67" s="36" t="str">
        <f aca="false">IFERROR(__xludf.dummyfunction("""COMPUTED_VALUE"""),"Games Tournament Oversight")</f>
        <v>Games Tournament Oversight</v>
      </c>
      <c r="C67" s="36"/>
      <c r="D67" s="38" t="str">
        <f aca="false">IFERROR(__xludf.dummyfunction("""COMPUTED_VALUE"""),"Manages medium-to-large multi-day events to ensure fair competition, resolve grievances, and enforce tournament policies")</f>
        <v>Manages medium-to-large multi-day events to ensure fair competition, resolve grievances, and enforce tournament policies</v>
      </c>
      <c r="E67" s="38"/>
      <c r="F67" s="38"/>
      <c r="G67" s="38"/>
      <c r="H67" s="38"/>
      <c r="I67" s="38"/>
      <c r="J67" s="38"/>
      <c r="K67" s="38"/>
    </row>
    <row r="68" customFormat="false" ht="15.75" hidden="false" customHeight="false" outlineLevel="0" collapsed="false">
      <c r="A68" s="39" t="str">
        <f aca="false">IFERROR(__xludf.dummyfunction("""COMPUTED_VALUE"""),"THR")</f>
        <v>THR</v>
      </c>
      <c r="B68" s="36" t="str">
        <f aca="false">IFERROR(__xludf.dummyfunction("""COMPUTED_VALUE"""),"Tournament Head Referee")</f>
        <v>Tournament Head Referee</v>
      </c>
      <c r="C68" s="36"/>
      <c r="D68" s="38" t="str">
        <f aca="false">IFERROR(__xludf.dummyfunction("""COMPUTED_VALUE"""),"Head Referee for a tournament")</f>
        <v>Head Referee for a tournament</v>
      </c>
      <c r="E68" s="38"/>
      <c r="F68" s="38"/>
      <c r="G68" s="38"/>
      <c r="H68" s="38"/>
      <c r="I68" s="38"/>
      <c r="J68" s="38"/>
      <c r="K68" s="38"/>
    </row>
    <row r="69" customFormat="false" ht="15.75" hidden="false" customHeight="false" outlineLevel="0" collapsed="false">
      <c r="A69" s="39" t="str">
        <f aca="false">IFERROR(__xludf.dummyfunction("""COMPUTED_VALUE"""),"CHR")</f>
        <v>CHR</v>
      </c>
      <c r="B69" s="36" t="str">
        <f aca="false">IFERROR(__xludf.dummyfunction("""COMPUTED_VALUE"""),"Crew Head Referee")</f>
        <v>Crew Head Referee</v>
      </c>
      <c r="C69" s="36"/>
      <c r="D69" s="38" t="str">
        <f aca="false">IFERROR(__xludf.dummyfunction("""COMPUTED_VALUE"""),"Head Referee of a fixed crew that works multiple games over the course of a tournament")</f>
        <v>Head Referee of a fixed crew that works multiple games over the course of a tournament</v>
      </c>
      <c r="E69" s="38"/>
      <c r="F69" s="38"/>
      <c r="G69" s="38"/>
      <c r="H69" s="38"/>
      <c r="I69" s="38"/>
      <c r="J69" s="38"/>
      <c r="K69" s="38"/>
    </row>
    <row r="70" customFormat="false" ht="15.75" hidden="false" customHeight="false" outlineLevel="0" collapsed="false">
      <c r="A70" s="39" t="str">
        <f aca="false">IFERROR(__xludf.dummyfunction("""COMPUTED_VALUE"""),"HR")</f>
        <v>HR</v>
      </c>
      <c r="B70" s="36" t="str">
        <f aca="false">IFERROR(__xludf.dummyfunction("""COMPUTED_VALUE"""),"Head Referee")</f>
        <v>Head Referee</v>
      </c>
      <c r="C70" s="36"/>
      <c r="D70" s="38" t="str">
        <f aca="false">IFERROR(__xludf.dummyfunction("""COMPUTED_VALUE"""),"The final rules adjudicator during a game")</f>
        <v>The final rules adjudicator during a game</v>
      </c>
      <c r="E70" s="38"/>
      <c r="F70" s="38"/>
      <c r="G70" s="38"/>
      <c r="H70" s="38"/>
      <c r="I70" s="38"/>
      <c r="J70" s="38"/>
      <c r="K70" s="38"/>
    </row>
    <row r="71" customFormat="false" ht="15.75" hidden="false" customHeight="false" outlineLevel="0" collapsed="false">
      <c r="A71" s="40" t="str">
        <f aca="false">IFERROR(__xludf.dummyfunction("""COMPUTED_VALUE"""),"THNSO")</f>
        <v>THNSO</v>
      </c>
      <c r="B71" s="36" t="str">
        <f aca="false">IFERROR(__xludf.dummyfunction("""COMPUTED_VALUE"""),"Tournament Head NSO")</f>
        <v>Tournament Head NSO</v>
      </c>
      <c r="C71" s="36"/>
      <c r="D71" s="38" t="str">
        <f aca="false">IFERROR(__xludf.dummyfunction("""COMPUTED_VALUE"""),"Head NSO for a tournament")</f>
        <v>Head NSO for a tournament</v>
      </c>
      <c r="E71" s="38"/>
      <c r="F71" s="38"/>
      <c r="G71" s="38"/>
      <c r="H71" s="38"/>
      <c r="I71" s="38"/>
      <c r="J71" s="38"/>
      <c r="K71" s="38"/>
    </row>
    <row r="72" customFormat="false" ht="15.75" hidden="false" customHeight="false" outlineLevel="0" collapsed="false">
      <c r="A72" s="40" t="str">
        <f aca="false">IFERROR(__xludf.dummyfunction("""COMPUTED_VALUE"""),"CHNSO")</f>
        <v>CHNSO</v>
      </c>
      <c r="B72" s="36" t="str">
        <f aca="false">IFERROR(__xludf.dummyfunction("""COMPUTED_VALUE"""),"Crew Head NSO")</f>
        <v>Crew Head NSO</v>
      </c>
      <c r="C72" s="36"/>
      <c r="D72" s="38" t="str">
        <f aca="false">IFERROR(__xludf.dummyfunction("""COMPUTED_VALUE"""),"Head NSO of a fixed crew that works multiple games over the course of a tournament")</f>
        <v>Head NSO of a fixed crew that works multiple games over the course of a tournament</v>
      </c>
      <c r="E72" s="38"/>
      <c r="F72" s="38"/>
      <c r="G72" s="38"/>
      <c r="H72" s="38"/>
      <c r="I72" s="38"/>
      <c r="J72" s="38"/>
      <c r="K72" s="38"/>
    </row>
    <row r="73" customFormat="false" ht="15.75" hidden="false" customHeight="false" outlineLevel="0" collapsed="false">
      <c r="A73" s="40" t="str">
        <f aca="false">IFERROR(__xludf.dummyfunction("""COMPUTED_VALUE"""),"HNSO")</f>
        <v>HNSO</v>
      </c>
      <c r="B73" s="36" t="str">
        <f aca="false">IFERROR(__xludf.dummyfunction("""COMPUTED_VALUE"""),"Head NSO")</f>
        <v>Head NSO</v>
      </c>
      <c r="C73" s="36"/>
      <c r="D73" s="38" t="str">
        <f aca="false">IFERROR(__xludf.dummyfunction("""COMPUTED_VALUE"""),"Leads the NSO crew and communicates non-skating information to the Head Referee")</f>
        <v>Leads the NSO crew and communicates non-skating information to the Head Referee</v>
      </c>
      <c r="E73" s="38"/>
      <c r="F73" s="38"/>
      <c r="G73" s="38"/>
      <c r="H73" s="38"/>
      <c r="I73" s="38"/>
      <c r="J73" s="38"/>
      <c r="K73" s="38"/>
    </row>
    <row r="74" customFormat="false" ht="15.75" hidden="false" customHeight="false" outlineLevel="0" collapsed="false">
      <c r="A74" s="39" t="str">
        <f aca="false">IFERROR(__xludf.dummyfunction("""COMPUTED_VALUE"""),"JR")</f>
        <v>JR</v>
      </c>
      <c r="B74" s="36" t="str">
        <f aca="false">IFERROR(__xludf.dummyfunction("""COMPUTED_VALUE"""),"Jammer Referee")</f>
        <v>Jammer Referee</v>
      </c>
      <c r="C74" s="36"/>
      <c r="D74" s="38" t="str">
        <f aca="false">IFERROR(__xludf.dummyfunction("""COMPUTED_VALUE"""),"Responsible for assessessing points scored by a Jammer")</f>
        <v>Responsible for assessessing points scored by a Jammer</v>
      </c>
      <c r="E74" s="38"/>
      <c r="F74" s="38"/>
      <c r="G74" s="38"/>
      <c r="H74" s="38"/>
      <c r="I74" s="38"/>
      <c r="J74" s="38"/>
      <c r="K74" s="38"/>
    </row>
    <row r="75" customFormat="false" ht="15.75" hidden="false" customHeight="false" outlineLevel="0" collapsed="false">
      <c r="A75" s="39" t="str">
        <f aca="false">IFERROR(__xludf.dummyfunction("""COMPUTED_VALUE"""),"IPR")</f>
        <v>IPR</v>
      </c>
      <c r="B75" s="36" t="str">
        <f aca="false">IFERROR(__xludf.dummyfunction("""COMPUTED_VALUE"""),"Inside Pack Referee")</f>
        <v>Inside Pack Referee</v>
      </c>
      <c r="C75" s="36"/>
      <c r="D75" s="38" t="str">
        <f aca="false">IFERROR(__xludf.dummyfunction("""COMPUTED_VALUE"""),"Responsible for pack definition")</f>
        <v>Responsible for pack definition</v>
      </c>
      <c r="E75" s="38"/>
      <c r="F75" s="38"/>
      <c r="G75" s="38"/>
      <c r="H75" s="38"/>
      <c r="I75" s="38"/>
      <c r="J75" s="38"/>
      <c r="K75" s="38"/>
    </row>
    <row r="76" customFormat="false" ht="15.75" hidden="false" customHeight="false" outlineLevel="0" collapsed="false">
      <c r="A76" s="39" t="str">
        <f aca="false">IFERROR(__xludf.dummyfunction("""COMPUTED_VALUE"""),"OPR")</f>
        <v>OPR</v>
      </c>
      <c r="B76" s="36" t="str">
        <f aca="false">IFERROR(__xludf.dummyfunction("""COMPUTED_VALUE"""),"Outside Pack Referee")</f>
        <v>Outside Pack Referee</v>
      </c>
      <c r="C76" s="36"/>
      <c r="D76" s="38" t="str">
        <f aca="false">IFERROR(__xludf.dummyfunction("""COMPUTED_VALUE"""),"Responsible for penalty calls on the outside of the track")</f>
        <v>Responsible for penalty calls on the outside of the track</v>
      </c>
      <c r="E76" s="38"/>
      <c r="F76" s="38"/>
      <c r="G76" s="38"/>
      <c r="H76" s="38"/>
      <c r="I76" s="38"/>
      <c r="J76" s="38"/>
      <c r="K76" s="38"/>
    </row>
    <row r="77" customFormat="false" ht="15.75" hidden="false" customHeight="false" outlineLevel="0" collapsed="false">
      <c r="A77" s="40" t="str">
        <f aca="false">IFERROR(__xludf.dummyfunction("""COMPUTED_VALUE"""),"PT")</f>
        <v>PT</v>
      </c>
      <c r="B77" s="36" t="str">
        <f aca="false">IFERROR(__xludf.dummyfunction("""COMPUTED_VALUE"""),"Penalty Tracker")</f>
        <v>Penalty Tracker</v>
      </c>
      <c r="C77" s="36"/>
      <c r="D77" s="38" t="str">
        <f aca="false">IFERROR(__xludf.dummyfunction("""COMPUTED_VALUE"""),"Tracks penalties called by Referees and communicates them to the IWB")</f>
        <v>Tracks penalties called by Referees and communicates them to the IWB</v>
      </c>
      <c r="E77" s="38"/>
      <c r="F77" s="38"/>
      <c r="G77" s="38"/>
      <c r="H77" s="38"/>
      <c r="I77" s="38"/>
      <c r="J77" s="38"/>
      <c r="K77" s="38"/>
    </row>
    <row r="78" customFormat="false" ht="15.75" hidden="false" customHeight="false" outlineLevel="0" collapsed="false">
      <c r="A78" s="40" t="str">
        <f aca="false">IFERROR(__xludf.dummyfunction("""COMPUTED_VALUE"""),"PW")</f>
        <v>PW</v>
      </c>
      <c r="B78" s="36" t="str">
        <f aca="false">IFERROR(__xludf.dummyfunction("""COMPUTED_VALUE"""),"Penalty Wrangler")</f>
        <v>Penalty Wrangler</v>
      </c>
      <c r="C78" s="36"/>
      <c r="D78" s="38" t="str">
        <f aca="false">IFERROR(__xludf.dummyfunction("""COMPUTED_VALUE"""),"Assists the Penalty Tracker in hearing and communicating penalties")</f>
        <v>Assists the Penalty Tracker in hearing and communicating penalties</v>
      </c>
      <c r="E78" s="38"/>
      <c r="F78" s="38"/>
      <c r="G78" s="38"/>
      <c r="H78" s="38"/>
      <c r="I78" s="38"/>
      <c r="J78" s="38"/>
      <c r="K78" s="38"/>
    </row>
    <row r="79" customFormat="false" ht="23.85" hidden="false" customHeight="false" outlineLevel="0" collapsed="false">
      <c r="A79" s="40" t="str">
        <f aca="false">IFERROR(__xludf.dummyfunction("""COMPUTED_VALUE"""),"IWB")</f>
        <v>IWB</v>
      </c>
      <c r="B79" s="36" t="str">
        <f aca="false">IFERROR(__xludf.dummyfunction("""COMPUTED_VALUE"""),"Inside Whiteboard")</f>
        <v>Inside Whiteboard</v>
      </c>
      <c r="C79" s="36"/>
      <c r="D79" s="38" t="str">
        <f aca="false">IFERROR(__xludf.dummyfunction("""COMPUTED_VALUE"""),"Creates a visual list of penalties received by players, whether they've sat for those penalties, and available timeouts")</f>
        <v>Creates a visual list of penalties received by players, whether they've sat for those penalties, and available timeouts</v>
      </c>
      <c r="E79" s="38"/>
      <c r="F79" s="38"/>
      <c r="G79" s="38"/>
      <c r="H79" s="38"/>
      <c r="I79" s="38"/>
      <c r="J79" s="38"/>
      <c r="K79" s="38"/>
    </row>
    <row r="80" customFormat="false" ht="23.85" hidden="false" customHeight="false" outlineLevel="0" collapsed="false">
      <c r="A80" s="40" t="str">
        <f aca="false">IFERROR(__xludf.dummyfunction("""COMPUTED_VALUE"""),"OWB")</f>
        <v>OWB</v>
      </c>
      <c r="B80" s="36" t="str">
        <f aca="false">IFERROR(__xludf.dummyfunction("""COMPUTED_VALUE"""),"Outside Whiteboard")</f>
        <v>Outside Whiteboard</v>
      </c>
      <c r="C80" s="36"/>
      <c r="D80" s="38" t="str">
        <f aca="false">IFERROR(__xludf.dummyfunction("""COMPUTED_VALUE"""),"Prior to 2013 ruleset only. If your IWB is located on the outside of the track, continue to list the position as IWB")</f>
        <v>Prior to 2013 ruleset only. If your IWB is located on the outside of the track, continue to list the position as IWB</v>
      </c>
      <c r="E80" s="38"/>
      <c r="F80" s="38"/>
      <c r="G80" s="38"/>
      <c r="H80" s="38"/>
      <c r="I80" s="38"/>
      <c r="J80" s="38"/>
      <c r="K80" s="38"/>
    </row>
    <row r="81" customFormat="false" ht="15.75" hidden="false" customHeight="false" outlineLevel="0" collapsed="false">
      <c r="A81" s="40" t="str">
        <f aca="false">IFERROR(__xludf.dummyfunction("""COMPUTED_VALUE"""),"JT")</f>
        <v>JT</v>
      </c>
      <c r="B81" s="36" t="str">
        <f aca="false">IFERROR(__xludf.dummyfunction("""COMPUTED_VALUE"""),"Jam Timer")</f>
        <v>Jam Timer</v>
      </c>
      <c r="C81" s="36"/>
      <c r="D81" s="38" t="str">
        <f aca="false">IFERROR(__xludf.dummyfunction("""COMPUTED_VALUE"""),"Begins each jam and acts as backup timer to the Scoreboard Operator")</f>
        <v>Begins each jam and acts as backup timer to the Scoreboard Operator</v>
      </c>
      <c r="E81" s="38"/>
      <c r="F81" s="38"/>
      <c r="G81" s="38"/>
      <c r="H81" s="38"/>
      <c r="I81" s="38"/>
      <c r="J81" s="38"/>
      <c r="K81" s="38"/>
    </row>
    <row r="82" customFormat="false" ht="23.85" hidden="false" customHeight="false" outlineLevel="0" collapsed="false">
      <c r="A82" s="40" t="str">
        <f aca="false">IFERROR(__xludf.dummyfunction("""COMPUTED_VALUE"""),"SK")</f>
        <v>SK</v>
      </c>
      <c r="B82" s="36" t="str">
        <f aca="false">IFERROR(__xludf.dummyfunction("""COMPUTED_VALUE"""),"Scorekeeper")</f>
        <v>Scorekeeper</v>
      </c>
      <c r="C82" s="36"/>
      <c r="D82" s="38" t="str">
        <f aca="false">IFERROR(__xludf.dummyfunction("""COMPUTED_VALUE"""),"Communicates the score from the Jammer Referee to the Scoreboard Operator, keeping a written record of each pass")</f>
        <v>Communicates the score from the Jammer Referee to the Scoreboard Operator, keeping a written record of each pass</v>
      </c>
      <c r="E82" s="38"/>
      <c r="F82" s="38"/>
      <c r="G82" s="38"/>
      <c r="H82" s="38"/>
      <c r="I82" s="38"/>
      <c r="J82" s="38"/>
      <c r="K82" s="38"/>
    </row>
    <row r="83" customFormat="false" ht="15.75" hidden="false" customHeight="false" outlineLevel="0" collapsed="false">
      <c r="A83" s="40" t="str">
        <f aca="false">IFERROR(__xludf.dummyfunction("""COMPUTED_VALUE"""),"SO")</f>
        <v>SO</v>
      </c>
      <c r="B83" s="36" t="str">
        <f aca="false">IFERROR(__xludf.dummyfunction("""COMPUTED_VALUE"""),"Scoreboard Operator")</f>
        <v>Scoreboard Operator</v>
      </c>
      <c r="C83" s="36"/>
      <c r="D83" s="38" t="str">
        <f aca="false">IFERROR(__xludf.dummyfunction("""COMPUTED_VALUE"""),"Maintains the official time and score for a game")</f>
        <v>Maintains the official time and score for a game</v>
      </c>
      <c r="E83" s="38"/>
      <c r="F83" s="38"/>
      <c r="G83" s="38"/>
      <c r="H83" s="38"/>
      <c r="I83" s="38"/>
      <c r="J83" s="38"/>
      <c r="K83" s="38"/>
    </row>
    <row r="84" customFormat="false" ht="15.75" hidden="false" customHeight="false" outlineLevel="0" collapsed="false">
      <c r="A84" s="40" t="str">
        <f aca="false">IFERROR(__xludf.dummyfunction("""COMPUTED_VALUE"""),"PBM")</f>
        <v>PBM</v>
      </c>
      <c r="B84" s="36" t="str">
        <f aca="false">IFERROR(__xludf.dummyfunction("""COMPUTED_VALUE"""),"Penalty Box Manager")</f>
        <v>Penalty Box Manager</v>
      </c>
      <c r="C84" s="36"/>
      <c r="D84" s="38" t="str">
        <f aca="false">IFERROR(__xludf.dummyfunction("""COMPUTED_VALUE"""),"Times penalties (typically for Jammers) and communicates box information to the center")</f>
        <v>Times penalties (typically for Jammers) and communicates box information to the center</v>
      </c>
      <c r="E84" s="38"/>
      <c r="F84" s="38"/>
      <c r="G84" s="38"/>
      <c r="H84" s="38"/>
      <c r="I84" s="38"/>
      <c r="J84" s="38"/>
      <c r="K84" s="38"/>
    </row>
    <row r="85" customFormat="false" ht="15.75" hidden="false" customHeight="false" outlineLevel="0" collapsed="false">
      <c r="A85" s="40" t="str">
        <f aca="false">IFERROR(__xludf.dummyfunction("""COMPUTED_VALUE"""),"PBT")</f>
        <v>PBT</v>
      </c>
      <c r="B85" s="36" t="str">
        <f aca="false">IFERROR(__xludf.dummyfunction("""COMPUTED_VALUE"""),"Penalty Box Timer")</f>
        <v>Penalty Box Timer</v>
      </c>
      <c r="C85" s="36"/>
      <c r="D85" s="38" t="str">
        <f aca="false">IFERROR(__xludf.dummyfunction("""COMPUTED_VALUE"""),"Times penalties (typically for Blockers)")</f>
        <v>Times penalties (typically for Blockers)</v>
      </c>
      <c r="E85" s="38"/>
      <c r="F85" s="38"/>
      <c r="G85" s="38"/>
      <c r="H85" s="38"/>
      <c r="I85" s="38"/>
      <c r="J85" s="38"/>
      <c r="K85" s="38"/>
    </row>
    <row r="86" customFormat="false" ht="15.75" hidden="false" customHeight="false" outlineLevel="0" collapsed="false">
      <c r="A86" s="40" t="str">
        <f aca="false">IFERROR(__xludf.dummyfunction("""COMPUTED_VALUE"""),"LT")</f>
        <v>LT</v>
      </c>
      <c r="B86" s="36" t="str">
        <f aca="false">IFERROR(__xludf.dummyfunction("""COMPUTED_VALUE"""),"Lineup Tracker")</f>
        <v>Lineup Tracker</v>
      </c>
      <c r="C86" s="36"/>
      <c r="D86" s="38" t="str">
        <f aca="false">IFERROR(__xludf.dummyfunction("""COMPUTED_VALUE"""),"Tracks players that participate in each jam and when those players serve penalties")</f>
        <v>Tracks players that participate in each jam and when those players serve penalties</v>
      </c>
      <c r="E86" s="38"/>
      <c r="F86" s="38"/>
      <c r="G86" s="38"/>
      <c r="H86" s="38"/>
      <c r="I86" s="38"/>
      <c r="J86" s="38"/>
      <c r="K86" s="38"/>
    </row>
    <row r="87" customFormat="false" ht="15.75" hidden="false" customHeight="false" outlineLevel="0" collapsed="false">
      <c r="A87" s="39" t="str">
        <f aca="false">IFERROR(__xludf.dummyfunction("""COMPUTED_VALUE"""),"ALTR")</f>
        <v>ALTR</v>
      </c>
      <c r="B87" s="36" t="str">
        <f aca="false">IFERROR(__xludf.dummyfunction("""COMPUTED_VALUE"""),"Alternate Referee")</f>
        <v>Alternate Referee</v>
      </c>
      <c r="C87" s="36"/>
      <c r="D87" s="38" t="str">
        <f aca="false">IFERROR(__xludf.dummyfunction("""COMPUTED_VALUE"""),"Fulfills secondary duties and steps in when an active Referee needs to be replaced")</f>
        <v>Fulfills secondary duties and steps in when an active Referee needs to be replaced</v>
      </c>
      <c r="E87" s="38"/>
      <c r="F87" s="38"/>
      <c r="G87" s="38"/>
      <c r="H87" s="38"/>
      <c r="I87" s="38"/>
      <c r="J87" s="38"/>
      <c r="K87" s="38"/>
    </row>
    <row r="88" customFormat="false" ht="15.75" hidden="false" customHeight="false" outlineLevel="0" collapsed="false">
      <c r="A88" s="40" t="str">
        <f aca="false">IFERROR(__xludf.dummyfunction("""COMPUTED_VALUE"""),"ALTN")</f>
        <v>ALTN</v>
      </c>
      <c r="B88" s="36" t="str">
        <f aca="false">IFERROR(__xludf.dummyfunction("""COMPUTED_VALUE"""),"Alternate NSO")</f>
        <v>Alternate NSO</v>
      </c>
      <c r="C88" s="36"/>
      <c r="D88" s="38" t="str">
        <f aca="false">IFERROR(__xludf.dummyfunction("""COMPUTED_VALUE"""),"Fulfills secondary duties and steps in when an active NSO needs to be replaced")</f>
        <v>Fulfills secondary duties and steps in when an active NSO needs to be replaced</v>
      </c>
      <c r="E88" s="38"/>
      <c r="F88" s="38"/>
      <c r="G88" s="38"/>
      <c r="H88" s="38"/>
      <c r="I88" s="38"/>
      <c r="J88" s="38"/>
      <c r="K88" s="38"/>
    </row>
    <row r="89" customFormat="false" ht="15.75" hidden="false" customHeight="false" outlineLevel="0" collapsed="false">
      <c r="A89" s="37"/>
      <c r="B89" s="37"/>
      <c r="C89" s="37"/>
      <c r="D89" s="11"/>
      <c r="E89" s="11"/>
      <c r="F89" s="11"/>
      <c r="G89" s="11"/>
      <c r="H89" s="11"/>
      <c r="I89" s="11"/>
      <c r="J89" s="11"/>
      <c r="K89" s="11"/>
    </row>
    <row r="90" customFormat="false" ht="15.75" hidden="false" customHeight="false" outlineLevel="0" collapsed="false">
      <c r="A90" s="7" t="str">
        <f aca="false">IFERROR(__xludf.dummyfunction("""COMPUTED_VALUE"""),"Annuals")</f>
        <v>Annuals</v>
      </c>
      <c r="B90" s="7"/>
      <c r="C90" s="7"/>
      <c r="D90" s="7"/>
      <c r="E90" s="7"/>
      <c r="F90" s="7"/>
      <c r="G90" s="7"/>
      <c r="H90" s="7"/>
      <c r="I90" s="7"/>
      <c r="J90" s="7"/>
      <c r="K90" s="7"/>
    </row>
    <row r="91" customFormat="false" ht="15.75" hidden="false" customHeight="false" outlineLevel="0" collapsed="false">
      <c r="A91" s="41" t="str">
        <f aca="false">IFERROR(__xludf.dummyfunction("""COMPUTED_VALUE"""),"•  This tab parses your Game History into one- and two-year increments. These data are used by the association tournament selection panels to confirm your eligibility for application.")</f>
        <v>•  This tab parses your Game History into one- and two-year increments. These data are used by the association tournament selection panels to confirm your eligibility for application.</v>
      </c>
      <c r="B91" s="41"/>
      <c r="C91" s="41"/>
      <c r="D91" s="41"/>
      <c r="E91" s="41"/>
      <c r="F91" s="41"/>
      <c r="G91" s="41"/>
      <c r="H91" s="41"/>
      <c r="I91" s="41"/>
      <c r="J91" s="41"/>
      <c r="K91" s="41"/>
    </row>
    <row r="92" customFormat="false" ht="15.75" hidden="false" customHeight="false" outlineLevel="0" collapsed="false">
      <c r="A92" s="41" t="str">
        <f aca="false">IFERROR(__xludf.dummyfunction("""COMPUTED_VALUE"""),"•  This sheet is locked to prevent tampering. All data are automatically generated from the Game History.")</f>
        <v>•  This sheet is locked to prevent tampering. All data are automatically generated from the Game History.</v>
      </c>
      <c r="B92" s="41"/>
      <c r="C92" s="41"/>
      <c r="D92" s="41"/>
      <c r="E92" s="41"/>
      <c r="F92" s="41"/>
      <c r="G92" s="41"/>
      <c r="H92" s="41"/>
      <c r="I92" s="41"/>
      <c r="J92" s="41"/>
      <c r="K92" s="41"/>
    </row>
    <row r="93" customFormat="false" ht="15.75" hidden="false" customHeight="false" outlineLevel="0" collapsed="false">
      <c r="A93" s="37"/>
      <c r="B93" s="37"/>
      <c r="C93" s="37"/>
      <c r="D93" s="11"/>
      <c r="E93" s="11"/>
      <c r="F93" s="11"/>
      <c r="G93" s="11"/>
      <c r="H93" s="11"/>
      <c r="I93" s="11"/>
      <c r="J93" s="11"/>
      <c r="K93" s="11"/>
    </row>
    <row r="94" customFormat="false" ht="15.75" hidden="false" customHeight="false" outlineLevel="0" collapsed="false">
      <c r="A94" s="7" t="str">
        <f aca="false">IFERROR(__xludf.dummyfunction("""COMPUTED_VALUE"""),"Other Summary")</f>
        <v>Other Summary</v>
      </c>
      <c r="B94" s="7"/>
      <c r="C94" s="7"/>
      <c r="D94" s="7"/>
      <c r="E94" s="7"/>
      <c r="F94" s="7"/>
      <c r="G94" s="7"/>
      <c r="H94" s="7"/>
      <c r="I94" s="7"/>
      <c r="J94" s="7"/>
      <c r="K94" s="7"/>
    </row>
    <row r="95" customFormat="false" ht="15.75" hidden="false" customHeight="false" outlineLevel="0" collapsed="false">
      <c r="A95" s="41" t="str">
        <f aca="false">IFERROR(__xludf.dummyfunction("""COMPUTED_VALUE"""),"•  This tab automatically populates all the data listed on the Other History tab. There is no personal data to enter here. You should make no changes to this tab.")</f>
        <v>•  This tab automatically populates all the data listed on the Other History tab. There is no personal data to enter here. You should make no changes to this tab.</v>
      </c>
      <c r="B95" s="41"/>
      <c r="C95" s="41"/>
      <c r="D95" s="41"/>
      <c r="E95" s="41"/>
      <c r="F95" s="41"/>
      <c r="G95" s="41"/>
      <c r="H95" s="41"/>
      <c r="I95" s="41"/>
      <c r="J95" s="41"/>
      <c r="K95" s="41"/>
    </row>
    <row r="96" customFormat="false" ht="15.75" hidden="false" customHeight="false" outlineLevel="0" collapsed="false">
      <c r="A96" s="37"/>
      <c r="B96" s="37"/>
      <c r="C96" s="37"/>
      <c r="D96" s="11"/>
      <c r="E96" s="11"/>
      <c r="F96" s="11"/>
      <c r="G96" s="11"/>
      <c r="H96" s="11"/>
      <c r="I96" s="11"/>
      <c r="J96" s="11"/>
      <c r="K96" s="11"/>
    </row>
    <row r="97" customFormat="false" ht="15.75" hidden="false" customHeight="false" outlineLevel="0" collapsed="false">
      <c r="A97" s="7" t="str">
        <f aca="false">IFERROR(__xludf.dummyfunction("""COMPUTED_VALUE"""),"Other History")</f>
        <v>Other History</v>
      </c>
      <c r="B97" s="7"/>
      <c r="C97" s="7"/>
      <c r="D97" s="7"/>
      <c r="E97" s="7"/>
      <c r="F97" s="7"/>
      <c r="G97" s="7"/>
      <c r="H97" s="7"/>
      <c r="I97" s="7"/>
      <c r="J97" s="7"/>
      <c r="K97" s="7"/>
    </row>
    <row r="98" customFormat="false" ht="15.75" hidden="false" customHeight="false" outlineLevel="0" collapsed="false">
      <c r="A98" s="41" t="str">
        <f aca="false">IFERROR(__xludf.dummyfunction("""COMPUTED_VALUE"""),"•  List game history in the same fashion as described above. List here all those games that do not meet the standards set by Game Type, including any games played under different rules.")</f>
        <v>•  List game history in the same fashion as described above. List here all those games that do not meet the standards set by Game Type, including any games played under different rules.</v>
      </c>
      <c r="B98" s="41"/>
      <c r="C98" s="41"/>
      <c r="D98" s="41"/>
      <c r="E98" s="41"/>
      <c r="F98" s="41"/>
      <c r="G98" s="41"/>
      <c r="H98" s="41"/>
      <c r="I98" s="41"/>
      <c r="J98" s="41"/>
      <c r="K98" s="41"/>
    </row>
    <row r="99" customFormat="false" ht="23.85" hidden="false" customHeight="false" outlineLevel="0" collapsed="false">
      <c r="A99" s="18"/>
      <c r="B99" s="25" t="str">
        <f aca="false">IFERROR(__xludf.dummyfunction("""COMPUTED_VALUE"""),"◦  Juniors: Games played between junior-aged teams of matching skill levels, including girls versus girls, boys versus boys, and open/non-gender divisions.")</f>
        <v>◦  Juniors: Games played between junior-aged teams of matching skill levels, including girls versus girls, boys versus boys, and open/non-gender divisions.</v>
      </c>
      <c r="C99" s="25"/>
      <c r="D99" s="25"/>
      <c r="E99" s="25"/>
      <c r="F99" s="25"/>
      <c r="G99" s="25"/>
      <c r="H99" s="25"/>
      <c r="I99" s="25"/>
      <c r="J99" s="25"/>
      <c r="K99" s="25"/>
    </row>
    <row r="100" customFormat="false" ht="15.75" hidden="false" customHeight="false" outlineLevel="0" collapsed="false">
      <c r="A100" s="42" t="str">
        <f aca="false">IFERROR(__xludf.dummyfunction("""COMPUTED_VALUE"""),"•  This information is not considered as part of any WFTDA/MRDA evaluation of your experience but is included so that you may utilize a single game history for your officiating career.")</f>
        <v>•  This information is not considered as part of any WFTDA/MRDA evaluation of your experience but is included so that you may utilize a single game history for your officiating career.</v>
      </c>
      <c r="B100" s="37"/>
      <c r="C100" s="37"/>
      <c r="D100" s="11"/>
      <c r="E100" s="11"/>
      <c r="F100" s="11"/>
      <c r="G100" s="11"/>
      <c r="H100" s="11"/>
      <c r="I100" s="11"/>
      <c r="J100" s="11"/>
      <c r="K100" s="11"/>
    </row>
    <row r="101" customFormat="false" ht="15.75" hidden="false" customHeight="false" outlineLevel="0" collapsed="false">
      <c r="A101" s="37"/>
      <c r="B101" s="37"/>
      <c r="C101" s="37"/>
      <c r="D101" s="11"/>
      <c r="E101" s="11"/>
      <c r="F101" s="11"/>
      <c r="G101" s="11"/>
      <c r="H101" s="11"/>
      <c r="I101" s="11"/>
      <c r="J101" s="11"/>
      <c r="K101" s="11"/>
    </row>
    <row r="102" customFormat="false" ht="15.75" hidden="false" customHeight="false" outlineLevel="0" collapsed="false">
      <c r="A102" s="43" t="str">
        <f aca="false">IFERROR(__xludf.dummyfunction("""COMPUTED_VALUE"""),"© 2015 Women’s Flat Track Derby Association")</f>
        <v>© 2015 Women’s Flat Track Derby Association</v>
      </c>
      <c r="B102" s="43"/>
      <c r="C102" s="43"/>
      <c r="D102" s="11"/>
      <c r="E102" s="11"/>
      <c r="F102" s="11"/>
      <c r="G102" s="11"/>
      <c r="H102" s="11"/>
      <c r="I102" s="11"/>
      <c r="J102" s="11"/>
      <c r="K102" s="11"/>
    </row>
    <row r="103" customFormat="false" ht="15.75" hidden="false" customHeight="false" outlineLevel="0" collapsed="false">
      <c r="A103" s="44" t="str">
        <f aca="false">IFERROR(__xludf.dummyfunction("""COMPUTED_VALUE"""),"Latest Rules:")</f>
        <v>Latest Rules:</v>
      </c>
      <c r="B103" s="45" t="n">
        <f aca="false">IFERROR(__xludf.dummyfunction("""COMPUTED_VALUE"""),42736)</f>
        <v>42736</v>
      </c>
      <c r="C103" s="44"/>
      <c r="D103" s="46"/>
      <c r="E103" s="46"/>
      <c r="F103" s="11"/>
      <c r="G103" s="11"/>
      <c r="H103" s="11"/>
      <c r="I103" s="11"/>
      <c r="J103" s="11"/>
      <c r="K103" s="11"/>
    </row>
    <row r="104" customFormat="false" ht="15.75" hidden="false" customHeight="false" outlineLevel="0" collapsed="false">
      <c r="A104" s="47" t="str">
        <f aca="false">IFERROR(__xludf.dummyfunction("""COMPUTED_VALUE"""),"Last Revised 2017-01-05")</f>
        <v>Last Revised 2017-01-05</v>
      </c>
      <c r="B104" s="47"/>
      <c r="C104" s="47"/>
      <c r="D104" s="48"/>
      <c r="E104" s="48"/>
      <c r="F104" s="49"/>
      <c r="G104" s="49"/>
      <c r="H104" s="49"/>
      <c r="I104" s="49"/>
      <c r="J104" s="49"/>
      <c r="K104" s="49"/>
    </row>
  </sheetData>
  <mergeCells count="101">
    <mergeCell ref="A1:I1"/>
    <mergeCell ref="A2:K2"/>
    <mergeCell ref="A4:K4"/>
    <mergeCell ref="A5:E5"/>
    <mergeCell ref="F5:H5"/>
    <mergeCell ref="A9:K9"/>
    <mergeCell ref="A10:K10"/>
    <mergeCell ref="A12:K12"/>
    <mergeCell ref="A13:K13"/>
    <mergeCell ref="A14:K14"/>
    <mergeCell ref="A15:K15"/>
    <mergeCell ref="A16:K16"/>
    <mergeCell ref="A17:K17"/>
    <mergeCell ref="A19:K19"/>
    <mergeCell ref="A21:K21"/>
    <mergeCell ref="A22:K22"/>
    <mergeCell ref="A24:K24"/>
    <mergeCell ref="A28:K28"/>
    <mergeCell ref="A29:K29"/>
    <mergeCell ref="A31:K31"/>
    <mergeCell ref="B38:K38"/>
    <mergeCell ref="B39:K39"/>
    <mergeCell ref="B40:K40"/>
    <mergeCell ref="A54:E54"/>
    <mergeCell ref="G54:K54"/>
    <mergeCell ref="B55:C55"/>
    <mergeCell ref="D55:E55"/>
    <mergeCell ref="H55:K55"/>
    <mergeCell ref="B56:C56"/>
    <mergeCell ref="D56:E56"/>
    <mergeCell ref="H56:K56"/>
    <mergeCell ref="B57:C57"/>
    <mergeCell ref="D57:E57"/>
    <mergeCell ref="H57:K57"/>
    <mergeCell ref="A59:K59"/>
    <mergeCell ref="B60:C60"/>
    <mergeCell ref="D60:K60"/>
    <mergeCell ref="B61:C61"/>
    <mergeCell ref="D61:K61"/>
    <mergeCell ref="B62:C62"/>
    <mergeCell ref="D62:K62"/>
    <mergeCell ref="B63:C63"/>
    <mergeCell ref="D63:K63"/>
    <mergeCell ref="B64:C64"/>
    <mergeCell ref="D64:K64"/>
    <mergeCell ref="B66:C66"/>
    <mergeCell ref="D66:K66"/>
    <mergeCell ref="B67:C67"/>
    <mergeCell ref="D67:K67"/>
    <mergeCell ref="B68:C68"/>
    <mergeCell ref="D68:K68"/>
    <mergeCell ref="B69:C69"/>
    <mergeCell ref="D69:K69"/>
    <mergeCell ref="B70:C70"/>
    <mergeCell ref="D70:K70"/>
    <mergeCell ref="B71:C71"/>
    <mergeCell ref="D71:K71"/>
    <mergeCell ref="B72:C72"/>
    <mergeCell ref="D72:K72"/>
    <mergeCell ref="B73:C73"/>
    <mergeCell ref="D73:K73"/>
    <mergeCell ref="B74:C74"/>
    <mergeCell ref="D74:K74"/>
    <mergeCell ref="B75:C75"/>
    <mergeCell ref="D75:K75"/>
    <mergeCell ref="B76:C76"/>
    <mergeCell ref="D76:K76"/>
    <mergeCell ref="B77:C77"/>
    <mergeCell ref="D77:K77"/>
    <mergeCell ref="B78:C78"/>
    <mergeCell ref="D78:K78"/>
    <mergeCell ref="B79:C79"/>
    <mergeCell ref="D79:K79"/>
    <mergeCell ref="B80:C80"/>
    <mergeCell ref="D80:K80"/>
    <mergeCell ref="B81:C81"/>
    <mergeCell ref="D81:K81"/>
    <mergeCell ref="B82:C82"/>
    <mergeCell ref="D82:K82"/>
    <mergeCell ref="B83:C83"/>
    <mergeCell ref="D83:K83"/>
    <mergeCell ref="B84:C84"/>
    <mergeCell ref="D84:K84"/>
    <mergeCell ref="B85:C85"/>
    <mergeCell ref="D85:K85"/>
    <mergeCell ref="B86:C86"/>
    <mergeCell ref="D86:K86"/>
    <mergeCell ref="B87:C87"/>
    <mergeCell ref="D87:K87"/>
    <mergeCell ref="B88:C88"/>
    <mergeCell ref="D88:K88"/>
    <mergeCell ref="A90:K90"/>
    <mergeCell ref="A91:K91"/>
    <mergeCell ref="A92:K92"/>
    <mergeCell ref="A94:K94"/>
    <mergeCell ref="A95:K95"/>
    <mergeCell ref="A97:K97"/>
    <mergeCell ref="A98:K98"/>
    <mergeCell ref="B99:K99"/>
    <mergeCell ref="A102:C102"/>
    <mergeCell ref="A104:C104"/>
  </mergeCells>
  <hyperlinks>
    <hyperlink ref="E6" r:id="rId1" display="http://wftda.org/gh15ss"/>
    <hyperlink ref="D55" r:id="rId2" display="http://www.wftda.com/"/>
    <hyperlink ref="D56" r:id="rId3" display="http://www.mensrollerderbyassociation.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S19" activeCellId="0" sqref="S19"/>
    </sheetView>
  </sheetViews>
  <sheetFormatPr defaultColWidth="11.53515625" defaultRowHeight="15.75" customHeight="true" zeroHeight="false" outlineLevelRow="0" outlineLevelCol="0"/>
  <cols>
    <col collapsed="false" customWidth="true" hidden="false" outlineLevel="0" max="1" min="1" style="1" width="8.39"/>
    <col collapsed="false" customWidth="true" hidden="false" outlineLevel="0" max="2" min="2" style="1" width="17.4"/>
    <col collapsed="false" customWidth="true" hidden="false" outlineLevel="0" max="3" min="3" style="1" width="6.12"/>
    <col collapsed="false" customWidth="true" hidden="false" outlineLevel="0" max="7" min="4" style="1" width="7.88"/>
    <col collapsed="false" customWidth="true" hidden="false" outlineLevel="0" max="8" min="8" style="1" width="1.63"/>
    <col collapsed="false" customWidth="true" hidden="false" outlineLevel="0" max="9" min="9" style="1" width="19.27"/>
    <col collapsed="false" customWidth="true" hidden="false" outlineLevel="0" max="10" min="10" style="1" width="5.88"/>
    <col collapsed="false" customWidth="true" hidden="false" outlineLevel="0" max="14" min="11" style="1" width="7.76"/>
    <col collapsed="false" customWidth="true" hidden="false" outlineLevel="0" max="1024" min="15" style="1" width="12.64"/>
  </cols>
  <sheetData>
    <row r="1" customFormat="false" ht="44.25" hidden="false" customHeight="true" outlineLevel="0" collapsed="false">
      <c r="A1" s="50" t="s">
        <v>0</v>
      </c>
      <c r="B1" s="50"/>
      <c r="C1" s="50"/>
      <c r="D1" s="50"/>
      <c r="E1" s="50"/>
      <c r="F1" s="50"/>
      <c r="G1" s="50"/>
      <c r="H1" s="50"/>
      <c r="I1" s="50"/>
      <c r="J1" s="50"/>
      <c r="K1" s="50"/>
      <c r="L1" s="51"/>
      <c r="M1" s="52"/>
      <c r="N1" s="52"/>
    </row>
    <row r="2" customFormat="false" ht="12" hidden="false" customHeight="true" outlineLevel="0" collapsed="false">
      <c r="A2" s="53"/>
      <c r="B2" s="53"/>
      <c r="C2" s="53"/>
      <c r="D2" s="53"/>
      <c r="E2" s="53"/>
      <c r="F2" s="53"/>
      <c r="G2" s="53"/>
      <c r="H2" s="53"/>
      <c r="I2" s="53"/>
      <c r="J2" s="53"/>
      <c r="K2" s="53"/>
      <c r="L2" s="11"/>
      <c r="M2" s="11"/>
      <c r="N2" s="54"/>
    </row>
    <row r="3" customFormat="false" ht="16.5" hidden="false" customHeight="true" outlineLevel="0" collapsed="false">
      <c r="A3" s="55" t="s">
        <v>1</v>
      </c>
      <c r="B3" s="55"/>
      <c r="C3" s="56" t="s">
        <v>2</v>
      </c>
      <c r="D3" s="56"/>
      <c r="E3" s="56"/>
      <c r="F3" s="56"/>
      <c r="G3" s="56"/>
      <c r="H3" s="56"/>
      <c r="I3" s="55" t="s">
        <v>3</v>
      </c>
      <c r="J3" s="57" t="n">
        <f aca="true">TODAY()</f>
        <v>46203</v>
      </c>
      <c r="K3" s="57"/>
      <c r="L3" s="58"/>
      <c r="M3" s="59"/>
      <c r="N3" s="60"/>
    </row>
    <row r="4" customFormat="false" ht="16.5" hidden="false" customHeight="true" outlineLevel="0" collapsed="false">
      <c r="A4" s="55" t="s">
        <v>4</v>
      </c>
      <c r="B4" s="55"/>
      <c r="C4" s="56" t="s">
        <v>5</v>
      </c>
      <c r="D4" s="56"/>
      <c r="E4" s="56"/>
      <c r="F4" s="56"/>
      <c r="G4" s="56"/>
      <c r="H4" s="56"/>
      <c r="I4" s="55" t="s">
        <v>6</v>
      </c>
      <c r="J4" s="57" t="n">
        <v>44807</v>
      </c>
      <c r="K4" s="57"/>
      <c r="L4" s="61"/>
      <c r="M4" s="62"/>
      <c r="N4" s="62"/>
    </row>
    <row r="5" customFormat="false" ht="16.5" hidden="false" customHeight="true" outlineLevel="0" collapsed="false">
      <c r="A5" s="55" t="s">
        <v>7</v>
      </c>
      <c r="B5" s="55"/>
      <c r="C5" s="63" t="s">
        <v>8</v>
      </c>
      <c r="D5" s="63"/>
      <c r="E5" s="63"/>
      <c r="F5" s="63"/>
      <c r="G5" s="63"/>
      <c r="H5" s="63"/>
      <c r="I5" s="63"/>
      <c r="J5" s="63"/>
      <c r="K5" s="63"/>
      <c r="L5" s="61"/>
      <c r="M5" s="20"/>
      <c r="N5" s="20"/>
    </row>
    <row r="6" customFormat="false" ht="16.5" hidden="false" customHeight="true" outlineLevel="0" collapsed="false">
      <c r="A6" s="55" t="s">
        <v>9</v>
      </c>
      <c r="B6" s="55"/>
      <c r="C6" s="63"/>
      <c r="D6" s="63"/>
      <c r="E6" s="63"/>
      <c r="F6" s="55" t="s">
        <v>10</v>
      </c>
      <c r="G6" s="55"/>
      <c r="H6" s="63" t="s">
        <v>11</v>
      </c>
      <c r="I6" s="63"/>
      <c r="J6" s="63"/>
      <c r="K6" s="63"/>
      <c r="L6" s="61"/>
      <c r="M6" s="59"/>
      <c r="N6" s="62"/>
    </row>
    <row r="7" customFormat="false" ht="16.5" hidden="false" customHeight="true" outlineLevel="0" collapsed="false">
      <c r="A7" s="55" t="s">
        <v>12</v>
      </c>
      <c r="B7" s="55"/>
      <c r="C7" s="63"/>
      <c r="D7" s="63"/>
      <c r="E7" s="55" t="s">
        <v>13</v>
      </c>
      <c r="F7" s="55"/>
      <c r="G7" s="64"/>
      <c r="H7" s="64"/>
      <c r="I7" s="64"/>
      <c r="J7" s="64"/>
      <c r="K7" s="64"/>
      <c r="L7" s="61"/>
      <c r="M7" s="59"/>
      <c r="N7" s="60"/>
    </row>
    <row r="8" customFormat="false" ht="16.5" hidden="false" customHeight="true" outlineLevel="0" collapsed="false">
      <c r="A8" s="65" t="s">
        <v>14</v>
      </c>
      <c r="B8" s="65"/>
      <c r="C8" s="63"/>
      <c r="D8" s="63"/>
      <c r="E8" s="65" t="s">
        <v>13</v>
      </c>
      <c r="F8" s="65"/>
      <c r="G8" s="66"/>
      <c r="H8" s="66"/>
      <c r="I8" s="66"/>
      <c r="J8" s="66"/>
      <c r="K8" s="66"/>
      <c r="L8" s="61"/>
      <c r="M8" s="54"/>
      <c r="N8" s="54"/>
    </row>
    <row r="9" customFormat="false" ht="9.75" hidden="false" customHeight="true" outlineLevel="0" collapsed="false">
      <c r="A9" s="67"/>
      <c r="B9" s="67"/>
      <c r="C9" s="67"/>
      <c r="D9" s="67"/>
      <c r="E9" s="67"/>
      <c r="F9" s="67"/>
      <c r="G9" s="68"/>
      <c r="H9" s="68"/>
      <c r="I9" s="67"/>
      <c r="J9" s="67"/>
      <c r="K9" s="67"/>
      <c r="L9" s="53"/>
      <c r="M9" s="69"/>
      <c r="N9" s="69"/>
    </row>
    <row r="10" customFormat="false" ht="18" hidden="false" customHeight="true" outlineLevel="0" collapsed="false">
      <c r="A10" s="70" t="s">
        <v>15</v>
      </c>
      <c r="B10" s="70"/>
      <c r="C10" s="70"/>
      <c r="D10" s="70"/>
      <c r="E10" s="70"/>
      <c r="F10" s="70"/>
      <c r="G10" s="70"/>
      <c r="H10" s="70"/>
      <c r="I10" s="70"/>
      <c r="J10" s="70"/>
      <c r="K10" s="70"/>
      <c r="L10" s="70"/>
      <c r="M10" s="70"/>
      <c r="N10" s="70"/>
    </row>
    <row r="11" customFormat="false" ht="18" hidden="false" customHeight="true" outlineLevel="0" collapsed="false">
      <c r="A11" s="55" t="s">
        <v>16</v>
      </c>
      <c r="B11" s="55"/>
      <c r="C11" s="71" t="s">
        <v>17</v>
      </c>
      <c r="D11" s="72" t="s">
        <v>18</v>
      </c>
      <c r="E11" s="72"/>
      <c r="F11" s="72"/>
      <c r="G11" s="72"/>
      <c r="H11" s="73"/>
      <c r="I11" s="65" t="s">
        <v>19</v>
      </c>
      <c r="J11" s="74" t="s">
        <v>17</v>
      </c>
      <c r="K11" s="75" t="s">
        <v>18</v>
      </c>
      <c r="L11" s="75"/>
      <c r="M11" s="75"/>
      <c r="N11" s="75"/>
    </row>
    <row r="12" customFormat="false" ht="28.5" hidden="false" customHeight="true" outlineLevel="0" collapsed="false">
      <c r="A12" s="55"/>
      <c r="B12" s="55"/>
      <c r="C12" s="71"/>
      <c r="D12" s="76" t="s">
        <v>20</v>
      </c>
      <c r="E12" s="77" t="s">
        <v>21</v>
      </c>
      <c r="F12" s="77" t="s">
        <v>22</v>
      </c>
      <c r="G12" s="77" t="s">
        <v>23</v>
      </c>
      <c r="H12" s="73"/>
      <c r="I12" s="65"/>
      <c r="J12" s="65"/>
      <c r="K12" s="78" t="s">
        <v>20</v>
      </c>
      <c r="L12" s="79" t="s">
        <v>21</v>
      </c>
      <c r="M12" s="79" t="s">
        <v>22</v>
      </c>
      <c r="N12" s="79" t="s">
        <v>23</v>
      </c>
    </row>
    <row r="13" customFormat="false" ht="15" hidden="false" customHeight="true" outlineLevel="0" collapsed="false">
      <c r="A13" s="80" t="s">
        <v>24</v>
      </c>
      <c r="B13" s="80"/>
      <c r="C13" s="81" t="s">
        <v>25</v>
      </c>
      <c r="D13" s="82" t="s">
        <v>26</v>
      </c>
      <c r="E13" s="83" t="n">
        <f aca="false">COUNTIFS('Game History'!G:G,"WFTDA",'Game History'!H:H,"Sanc",'Game History'!I:I,Instructions!A70)</f>
        <v>0</v>
      </c>
      <c r="F13" s="83" t="n">
        <f aca="false">COUNTIFS('Game History'!G:G,"WFTDA",'Game History'!H:H,"Reg",'Game History'!I:I,Instructions!A70)</f>
        <v>0</v>
      </c>
      <c r="G13" s="83" t="n">
        <f aca="false">COUNTIFS('Game History'!G:G,"WFTDA",'Game History'!H:H,"Other",'Game History'!I:I,Instructions!A70)</f>
        <v>0</v>
      </c>
      <c r="H13" s="73"/>
      <c r="I13" s="84" t="s">
        <v>27</v>
      </c>
      <c r="J13" s="81" t="s">
        <v>28</v>
      </c>
      <c r="K13" s="85" t="s">
        <v>26</v>
      </c>
      <c r="L13" s="85" t="n">
        <f aca="false">COUNTIFS('Game History'!G:G,"WFTDA",'Game History'!H:H,"Sanc",'Game History'!I:I,Instructions!A73)</f>
        <v>0</v>
      </c>
      <c r="M13" s="86" t="n">
        <f aca="false">COUNTIFS('Game History'!G:G,"WFTDA",'Game History'!H:H,"Reg",'Game History'!I:I,Instructions!A73)</f>
        <v>0</v>
      </c>
      <c r="N13" s="86" t="n">
        <f aca="false">COUNTIFS('Game History'!G:G,"WFTDA",'Game History'!H:H,"Other",'Game History'!I:I,Instructions!A73)</f>
        <v>0</v>
      </c>
    </row>
    <row r="14" customFormat="false" ht="15" hidden="false" customHeight="true" outlineLevel="0" collapsed="false">
      <c r="A14" s="80" t="s">
        <v>29</v>
      </c>
      <c r="B14" s="80"/>
      <c r="C14" s="81" t="s">
        <v>30</v>
      </c>
      <c r="D14" s="87" t="n">
        <f aca="false">COUNTIFS('Game History'!G:G,"WFTDA",'Game History'!H:H,"Champs",'Game History'!I:I,Instructions!A74)+COUNTIFS('Game History'!G:G,"WFTDA",'Game History'!H:H,"Playoff",'Game History'!I:I,Instructions!A74)</f>
        <v>0</v>
      </c>
      <c r="E14" s="88" t="n">
        <f aca="false">COUNTIFS('Game History'!G:G,"WFTDA",'Game History'!H:H,"Sanc",'Game History'!I:I,Instructions!A74)</f>
        <v>2</v>
      </c>
      <c r="F14" s="88" t="n">
        <f aca="false">COUNTIFS('Game History'!G:G,"WFTDA",'Game History'!H:H,"Reg",'Game History'!I:I,Instructions!A74)</f>
        <v>8</v>
      </c>
      <c r="G14" s="88" t="n">
        <f aca="false">COUNTIFS('Game History'!G:G,"WFTDA",'Game History'!H:H,"Other",'Game History'!I:I,Instructions!A74)</f>
        <v>12</v>
      </c>
      <c r="H14" s="73"/>
      <c r="I14" s="89" t="s">
        <v>31</v>
      </c>
      <c r="J14" s="81" t="s">
        <v>32</v>
      </c>
      <c r="K14" s="86" t="n">
        <f aca="false">COUNTIFS('Game History'!G:G,"WFTDA",'Game History'!H:H,"Champs",'Game History'!I:I,Instructions!A77)+COUNTIFS('Game History'!G:G,"WFTDA",'Game History'!H:H,"Playoff",'Game History'!I:I,Instructions!A77)</f>
        <v>0</v>
      </c>
      <c r="L14" s="85" t="n">
        <f aca="false">COUNTIFS('Game History'!G:G,"WFTDA",'Game History'!H:H,"Sanc",'Game History'!I:I,Instructions!A77)</f>
        <v>0</v>
      </c>
      <c r="M14" s="86" t="n">
        <f aca="false">COUNTIFS('Game History'!G:G,"WFTDA",'Game History'!H:H,"Reg",'Game History'!I:I,Instructions!A77)</f>
        <v>2</v>
      </c>
      <c r="N14" s="86" t="n">
        <f aca="false">COUNTIFS('Game History'!G:G,"WFTDA",'Game History'!H:H,"Other",'Game History'!I:I,Instructions!A77)</f>
        <v>2</v>
      </c>
    </row>
    <row r="15" customFormat="false" ht="15" hidden="false" customHeight="true" outlineLevel="0" collapsed="false">
      <c r="A15" s="80" t="s">
        <v>33</v>
      </c>
      <c r="B15" s="90"/>
      <c r="C15" s="81" t="s">
        <v>34</v>
      </c>
      <c r="D15" s="87" t="n">
        <f aca="false">COUNTIFS('Game History'!G:G,"WFTDA",'Game History'!H:H,"Champs",'Game History'!I:I,Instructions!A75)+COUNTIFS('Game History'!G:G,"WFTDA",'Game History'!H:H,"Playoff",'Game History'!I:I,Instructions!A75)</f>
        <v>0</v>
      </c>
      <c r="E15" s="88" t="n">
        <f aca="false">COUNTIFS('Game History'!G:G,"WFTDA",'Game History'!H:H,"Sanc",'Game History'!I:I,Instructions!A75)</f>
        <v>0</v>
      </c>
      <c r="F15" s="88" t="n">
        <f aca="false">COUNTIFS('Game History'!G:G,"WFTDA",'Game History'!H:H,"Reg",'Game History'!I:I,Instructions!A75)</f>
        <v>8</v>
      </c>
      <c r="G15" s="88" t="n">
        <f aca="false">COUNTIFS('Game History'!G:G,"WFTDA",'Game History'!H:H,"Other",'Game History'!I:I,Instructions!A75)</f>
        <v>0</v>
      </c>
      <c r="H15" s="73"/>
      <c r="I15" s="91" t="s">
        <v>35</v>
      </c>
      <c r="J15" s="81" t="s">
        <v>36</v>
      </c>
      <c r="K15" s="86" t="n">
        <f aca="false">COUNTIFS('Game History'!G:G,"WFTDA",'Game History'!H:H,"Champs",'Game History'!I:I,Instructions!A78)+COUNTIFS('Game History'!G:G,"WFTDA",'Game History'!H:H,"Playoff",'Game History'!I:I,Instructions!A78)</f>
        <v>0</v>
      </c>
      <c r="L15" s="85" t="n">
        <f aca="false">COUNTIFS('Game History'!G:G,"WFTDA",'Game History'!H:H,"Sanc",'Game History'!I:I,Instructions!A78)</f>
        <v>0</v>
      </c>
      <c r="M15" s="86" t="n">
        <f aca="false">COUNTIFS('Game History'!G:G,"WFTDA",'Game History'!H:H,"Reg",'Game History'!I:I,Instructions!A78)</f>
        <v>0</v>
      </c>
      <c r="N15" s="86" t="n">
        <f aca="false">COUNTIFS('Game History'!G:G,"WFTDA",'Game History'!H:H,"Other",'Game History'!I:I,Instructions!A78)</f>
        <v>0</v>
      </c>
    </row>
    <row r="16" customFormat="false" ht="15" hidden="false" customHeight="true" outlineLevel="0" collapsed="false">
      <c r="A16" s="80" t="s">
        <v>37</v>
      </c>
      <c r="B16" s="80"/>
      <c r="C16" s="81" t="s">
        <v>38</v>
      </c>
      <c r="D16" s="87" t="n">
        <f aca="false">COUNTIFS('Game History'!G:G,"WFTDA",'Game History'!H:H,"Champs",'Game History'!I:I,Instructions!A76)+COUNTIFS('Game History'!G:G,"WFTDA",'Game History'!H:H,"Playoff",'Game History'!I:I,Instructions!A76)</f>
        <v>2</v>
      </c>
      <c r="E16" s="88" t="n">
        <f aca="false">COUNTIFS('Game History'!G:G,"WFTDA",'Game History'!H:H,"Sanc",'Game History'!I:I,Instructions!A76)</f>
        <v>13</v>
      </c>
      <c r="F16" s="88" t="n">
        <f aca="false">COUNTIFS('Game History'!G:G,"WFTDA",'Game History'!H:H,"Reg",'Game History'!I:I,Instructions!A76)</f>
        <v>25</v>
      </c>
      <c r="G16" s="88" t="n">
        <f aca="false">COUNTIFS('Game History'!G:G,"WFTDA",'Game History'!H:H,"Other",'Game History'!I:I,Instructions!A76)</f>
        <v>5</v>
      </c>
      <c r="H16" s="73"/>
      <c r="I16" s="91" t="s">
        <v>39</v>
      </c>
      <c r="J16" s="81" t="s">
        <v>40</v>
      </c>
      <c r="K16" s="86" t="n">
        <f aca="false">COUNTIFS('Game History'!G:G,"WFTDA",'Game History'!H:H,"Champs",'Game History'!I:I,Instructions!A79)+COUNTIFS('Game History'!G:G,"WFTDA",'Game History'!H:H,"Playoff",'Game History'!I:I,Instructions!A79)</f>
        <v>0</v>
      </c>
      <c r="L16" s="85" t="n">
        <f aca="false">COUNTIFS('Game History'!G:G,"WFTDA",'Game History'!H:H,"Sanc",'Game History'!I:I,Instructions!A79)</f>
        <v>0</v>
      </c>
      <c r="M16" s="86" t="n">
        <f aca="false">COUNTIFS('Game History'!G:G,"WFTDA",'Game History'!H:H,"Reg",'Game History'!I:I,Instructions!A79)</f>
        <v>0</v>
      </c>
      <c r="N16" s="86" t="n">
        <f aca="false">COUNTIFS('Game History'!G:G,"WFTDA",'Game History'!H:H,"Other",'Game History'!I:I,Instructions!A79)</f>
        <v>0</v>
      </c>
    </row>
    <row r="17" customFormat="false" ht="15" hidden="false" customHeight="true" outlineLevel="0" collapsed="false">
      <c r="A17" s="80" t="s">
        <v>41</v>
      </c>
      <c r="B17" s="80"/>
      <c r="C17" s="81" t="s">
        <v>42</v>
      </c>
      <c r="D17" s="87" t="n">
        <f aca="false">COUNTIFS('Game History'!G:G,"WFTDA",'Game History'!H:H,"Champs",'Game History'!I:I,Instructions!A87)+COUNTIFS('Game History'!G:G,"WFTDA",'Game History'!H:H,"Playoff",'Game History'!I:I,Instructions!A87)</f>
        <v>0</v>
      </c>
      <c r="E17" s="88" t="n">
        <f aca="false">COUNTIFS('Game History'!G:G,"WFTDA",'Game History'!H:H,"Sanc",'Game History'!I:I,Instructions!A87)</f>
        <v>1</v>
      </c>
      <c r="F17" s="88" t="n">
        <f aca="false">COUNTIFS('Game History'!G:G,"WFTDA",'Game History'!H:H,"Reg",'Game History'!I:I,Instructions!A87)</f>
        <v>2</v>
      </c>
      <c r="G17" s="88" t="n">
        <f aca="false">COUNTIFS('Game History'!G:G,"WFTDA",'Game History'!H:H,"Other",'Game History'!I:I,Instructions!A87)</f>
        <v>1</v>
      </c>
      <c r="H17" s="73"/>
      <c r="I17" s="91" t="s">
        <v>43</v>
      </c>
      <c r="J17" s="81" t="s">
        <v>44</v>
      </c>
      <c r="K17" s="86" t="n">
        <f aca="false">COUNTIFS('Game History'!G:G,"WFTDA",'Game History'!H:H,"Champs",'Game History'!I:I,Instructions!A80)+COUNTIFS('Game History'!G:G,"WFTDA",'Game History'!H:H,"Playoff",'Game History'!I:I,Instructions!A80)</f>
        <v>0</v>
      </c>
      <c r="L17" s="85" t="n">
        <f aca="false">COUNTIFS('Game History'!G:G,"WFTDA",'Game History'!H:H,"Sanc",'Game History'!I:I,Instructions!A80)</f>
        <v>0</v>
      </c>
      <c r="M17" s="86" t="n">
        <f aca="false">COUNTIFS('Game History'!G:G,"WFTDA",'Game History'!H:H,"Reg",'Game History'!I:I,Instructions!A80)</f>
        <v>0</v>
      </c>
      <c r="N17" s="86" t="n">
        <f aca="false">COUNTIFS('Game History'!G:G,"WFTDA",'Game History'!H:H,"Other",'Game History'!I:I,Instructions!A80)</f>
        <v>0</v>
      </c>
    </row>
    <row r="18" customFormat="false" ht="15" hidden="false" customHeight="true" outlineLevel="0" collapsed="false">
      <c r="A18" s="92" t="s">
        <v>45</v>
      </c>
      <c r="B18" s="92"/>
      <c r="C18" s="92"/>
      <c r="D18" s="93" t="n">
        <f aca="false">SUM(D14:D17)</f>
        <v>2</v>
      </c>
      <c r="E18" s="93" t="n">
        <f aca="false">SUM(E13:E17)</f>
        <v>16</v>
      </c>
      <c r="F18" s="93" t="n">
        <f aca="false">SUM(F13:F17)</f>
        <v>43</v>
      </c>
      <c r="G18" s="93" t="n">
        <f aca="false">SUM(G13:G17)</f>
        <v>18</v>
      </c>
      <c r="H18" s="73"/>
      <c r="I18" s="91" t="s">
        <v>46</v>
      </c>
      <c r="J18" s="81" t="s">
        <v>47</v>
      </c>
      <c r="K18" s="86" t="n">
        <f aca="false">COUNTIFS('Game History'!G:G,"WFTDA",'Game History'!H:H,"Champs",'Game History'!I:I,Instructions!A81)+COUNTIFS('Game History'!G:G,"WFTDA",'Game History'!H:H,"Playoff",'Game History'!I:I,Instructions!A81)</f>
        <v>0</v>
      </c>
      <c r="L18" s="85" t="n">
        <f aca="false">COUNTIFS('Game History'!G:G,"WFTDA",'Game History'!H:H,"Sanc",'Game History'!I:I,Instructions!A81)</f>
        <v>0</v>
      </c>
      <c r="M18" s="86" t="n">
        <f aca="false">COUNTIFS('Game History'!G:G,"WFTDA",'Game History'!H:H,"Reg",'Game History'!I:I,Instructions!A81)</f>
        <v>5</v>
      </c>
      <c r="N18" s="86" t="n">
        <f aca="false">COUNTIFS('Game History'!G:G,"WFTDA",'Game History'!H:H,"Other",'Game History'!I:I,Instructions!A81)</f>
        <v>0</v>
      </c>
    </row>
    <row r="19" customFormat="false" ht="15" hidden="false" customHeight="true" outlineLevel="0" collapsed="false">
      <c r="A19" s="67"/>
      <c r="B19" s="67"/>
      <c r="C19" s="94"/>
      <c r="D19" s="67"/>
      <c r="E19" s="67"/>
      <c r="F19" s="67"/>
      <c r="G19" s="67"/>
      <c r="H19" s="95"/>
      <c r="I19" s="91" t="s">
        <v>48</v>
      </c>
      <c r="J19" s="81" t="s">
        <v>49</v>
      </c>
      <c r="K19" s="86" t="n">
        <f aca="false">COUNTIFS('Game History'!G:G,"WFTDA",'Game History'!H:H,"Champs",'Game History'!I:I,Instructions!A82)+COUNTIFS('Game History'!G:G,"WFTDA",'Game History'!H:H,"Playoff",'Game History'!I:I,Instructions!A82)</f>
        <v>0</v>
      </c>
      <c r="L19" s="85" t="n">
        <f aca="false">COUNTIFS('Game History'!G:G,"WFTDA",'Game History'!H:H,"Sanc",'Game History'!I:I,Instructions!A82)</f>
        <v>2</v>
      </c>
      <c r="M19" s="86" t="n">
        <f aca="false">COUNTIFS('Game History'!G:G,"WFTDA",'Game History'!H:H,"Reg",'Game History'!I:I,Instructions!A82)</f>
        <v>6</v>
      </c>
      <c r="N19" s="86" t="n">
        <f aca="false">COUNTIFS('Game History'!G:G,"WFTDA",'Game History'!H:H,"Other",'Game History'!I:I,Instructions!A82)</f>
        <v>1</v>
      </c>
    </row>
    <row r="20" customFormat="false" ht="15" hidden="false" customHeight="true" outlineLevel="0" collapsed="false">
      <c r="A20" s="80" t="s">
        <v>50</v>
      </c>
      <c r="B20" s="80"/>
      <c r="C20" s="81" t="s">
        <v>51</v>
      </c>
      <c r="D20" s="86" t="n">
        <f aca="false">COUNTIFS('Game History'!G:G,"WFTDA",'Game History'!H:H,"Champs",'Game History'!I:I,Instructions!A68)+COUNTIFS('Game History'!G:G,"WFTDA",'Game History'!H:H,"Playoff",'Game History'!I:I,Instructions!A68)</f>
        <v>0</v>
      </c>
      <c r="E20" s="86" t="n">
        <f aca="false">COUNTIFS('Game History'!G:G,"WFTDA",'Game History'!H:H,"Sanc",'Game History'!I:I,Instructions!A68)</f>
        <v>0</v>
      </c>
      <c r="F20" s="86" t="n">
        <f aca="false">COUNTIFS('Game History'!G:G,"WFTDA",'Game History'!H:H,"Reg",'Game History'!I:I,Instructions!A68)</f>
        <v>0</v>
      </c>
      <c r="G20" s="86" t="n">
        <f aca="false">COUNTIFS('Game History'!G:G,"WFTDA",'Game History'!H:H,"Other",'Game History'!I:I,Instructions!A68)</f>
        <v>0</v>
      </c>
      <c r="H20" s="73"/>
      <c r="I20" s="91" t="s">
        <v>52</v>
      </c>
      <c r="J20" s="81" t="s">
        <v>53</v>
      </c>
      <c r="K20" s="86" t="n">
        <f aca="false">COUNTIFS('Game History'!G:G,"WFTDA",'Game History'!H:H,"Champs",'Game History'!I:I,Instructions!A83)+COUNTIFS('Game History'!G:G,"WFTDA",'Game History'!H:H,"Playoff",'Game History'!I:I,Instructions!A83)</f>
        <v>2</v>
      </c>
      <c r="L20" s="85" t="n">
        <f aca="false">COUNTIFS('Game History'!G:G,"WFTDA",'Game History'!H:H,"Sanc",'Game History'!I:I,Instructions!A83)</f>
        <v>1</v>
      </c>
      <c r="M20" s="86" t="n">
        <f aca="false">COUNTIFS('Game History'!G:G,"WFTDA",'Game History'!H:H,"Reg",'Game History'!I:I,Instructions!A83)</f>
        <v>16</v>
      </c>
      <c r="N20" s="86" t="n">
        <f aca="false">COUNTIFS('Game History'!G:G,"WFTDA",'Game History'!H:H,"Other",'Game History'!I:I,Instructions!A83)</f>
        <v>3</v>
      </c>
    </row>
    <row r="21" customFormat="false" ht="15" hidden="false" customHeight="true" outlineLevel="0" collapsed="false">
      <c r="A21" s="80" t="s">
        <v>54</v>
      </c>
      <c r="B21" s="80"/>
      <c r="C21" s="81" t="s">
        <v>55</v>
      </c>
      <c r="D21" s="86" t="n">
        <f aca="false">COUNTIFS('Game History'!G:G,"WFTDA",'Game History'!H:H,"Champs",'Game History'!I:I,Instructions!A69)+COUNTIFS('Game History'!G:G,"WFTDA",'Game History'!H:H,"Playoff",'Game History'!I:I,Instructions!A69)+COUNTIFS('Game History'!G:G,"WFTDA",'Game History'!H:H,"Champs",'Game History'!I:I,Instructions!A70)+COUNTIFS('Game History'!G:G,"WFTDA",'Game History'!H:H,"Playoff",'Game History'!I:I,Instructions!A70)</f>
        <v>0</v>
      </c>
      <c r="E21" s="86" t="n">
        <f aca="false">COUNTIFS('Game History'!G:G,"WFTDA",'Game History'!H:H,"Sanc",'Game History'!I:I,Instructions!A69)</f>
        <v>0</v>
      </c>
      <c r="F21" s="86" t="n">
        <f aca="false">COUNTIFS('Game History'!G:G,"WFTDA",'Game History'!H:H,"Reg",'Game History'!I:I,Instructions!A69)</f>
        <v>0</v>
      </c>
      <c r="G21" s="86" t="n">
        <f aca="false">COUNTIFS('Game History'!G:G,"WFTDA",'Game History'!H:H,"Other",'Game History'!I:I,Instructions!A69)</f>
        <v>0</v>
      </c>
      <c r="H21" s="73"/>
      <c r="I21" s="91" t="s">
        <v>56</v>
      </c>
      <c r="J21" s="81" t="s">
        <v>57</v>
      </c>
      <c r="K21" s="86" t="n">
        <f aca="false">COUNTIFS('Game History'!G:G,"WFTDA",'Game History'!H:H,"Champs",'Game History'!I:I,Instructions!A84)+COUNTIFS('Game History'!G:G,"WFTDA",'Game History'!H:H,"Playoff",'Game History'!I:I,Instructions!A84)</f>
        <v>0</v>
      </c>
      <c r="L21" s="85" t="n">
        <f aca="false">COUNTIFS('Game History'!G:G,"WFTDA",'Game History'!H:H,"Sanc",'Game History'!I:I,Instructions!A84)</f>
        <v>0</v>
      </c>
      <c r="M21" s="86" t="n">
        <f aca="false">COUNTIFS('Game History'!G:G,"WFTDA",'Game History'!H:H,"Reg",'Game History'!I:I,Instructions!A84)</f>
        <v>4</v>
      </c>
      <c r="N21" s="86" t="n">
        <f aca="false">COUNTIFS('Game History'!G:G,"WFTDA",'Game History'!H:H,"Other",'Game History'!I:I,Instructions!A84)</f>
        <v>0</v>
      </c>
    </row>
    <row r="22" customFormat="false" ht="15" hidden="false" customHeight="true" outlineLevel="0" collapsed="false">
      <c r="A22" s="96" t="s">
        <v>58</v>
      </c>
      <c r="B22" s="96"/>
      <c r="C22" s="97" t="s">
        <v>59</v>
      </c>
      <c r="D22" s="86" t="n">
        <f aca="false">COUNTIFS('Game History'!G:G,"WFTDA",'Game History'!H:H,"Champs",'Game History'!I:I,Instructions!A67)+COUNTIFS('Game History'!G:G,"WFTDA",'Game History'!H:H,"Playoff",'Game History'!I:I,Instructions!A67)</f>
        <v>0</v>
      </c>
      <c r="E22" s="86" t="n">
        <f aca="false">COUNTIFS('Game History'!G:G,"WFTDA",'Game History'!H:H,"Sanc",'Game History'!I:I,Instructions!A67)</f>
        <v>0</v>
      </c>
      <c r="F22" s="86" t="n">
        <f aca="false">COUNTIFS('Game History'!G:G,"WFTDA",'Game History'!H:H,"Reg",'Game History'!I:I,Instructions!A67)</f>
        <v>0</v>
      </c>
      <c r="G22" s="86" t="n">
        <f aca="false">COUNTIFS('Game History'!G:G,"WFTDA",'Game History'!H:H,"Other",'Game History'!I:I,Instructions!A67)</f>
        <v>0</v>
      </c>
      <c r="H22" s="73"/>
      <c r="I22" s="91" t="s">
        <v>60</v>
      </c>
      <c r="J22" s="81" t="s">
        <v>61</v>
      </c>
      <c r="K22" s="86" t="n">
        <f aca="false">COUNTIFS('Game History'!G:G,"WFTDA",'Game History'!H:H,"Champs",'Game History'!I:I,Instructions!A85)+COUNTIFS('Game History'!G:G,"WFTDA",'Game History'!H:H,"Playoff",'Game History'!I:I,Instructions!A85)</f>
        <v>0</v>
      </c>
      <c r="L22" s="85" t="n">
        <f aca="false">COUNTIFS('Game History'!G:G,"WFTDA",'Game History'!H:H,"Sanc",'Game History'!I:I,Instructions!A85)</f>
        <v>0</v>
      </c>
      <c r="M22" s="86" t="n">
        <f aca="false">COUNTIFS('Game History'!G:G,"WFTDA",'Game History'!H:H,"Reg",'Game History'!I:I,Instructions!A85)</f>
        <v>12</v>
      </c>
      <c r="N22" s="86" t="n">
        <f aca="false">COUNTIFS('Game History'!G:G,"WFTDA",'Game History'!H:H,"Other",'Game History'!I:I,Instructions!A85)</f>
        <v>9</v>
      </c>
    </row>
    <row r="23" customFormat="false" ht="15" hidden="false" customHeight="true" outlineLevel="0" collapsed="false">
      <c r="A23" s="98" t="s">
        <v>62</v>
      </c>
      <c r="B23" s="98"/>
      <c r="C23" s="81" t="s">
        <v>63</v>
      </c>
      <c r="D23" s="86" t="n">
        <f aca="false">COUNTIFS('Game History'!G:G,"WFTDA",'Game History'!H:H,"Champs",'Game History'!I:I,Instructions!A71)+COUNTIFS('Game History'!G:G,"WFTDA",'Game History'!H:H,"Playoff",'Game History'!I:I,Instructions!A71)</f>
        <v>0</v>
      </c>
      <c r="E23" s="86" t="n">
        <f aca="false">COUNTIFS('Game History'!G:G,"WFTDA",'Game History'!H:H,"Sanc",'Game History'!I:I,Instructions!A71)</f>
        <v>0</v>
      </c>
      <c r="F23" s="86" t="n">
        <f aca="false">COUNTIFS('Game History'!G:G,"WFTDA",'Game History'!H:H,"Reg",'Game History'!I:I,Instructions!A71)</f>
        <v>0</v>
      </c>
      <c r="G23" s="86" t="n">
        <f aca="false">COUNTIFS('Game History'!G:G,"WFTDA",'Game History'!H:H,"Other",'Game History'!I:I,Instructions!A71)</f>
        <v>0</v>
      </c>
      <c r="H23" s="73"/>
      <c r="I23" s="91" t="s">
        <v>64</v>
      </c>
      <c r="J23" s="81" t="s">
        <v>65</v>
      </c>
      <c r="K23" s="86" t="n">
        <f aca="false">COUNTIFS('Game History'!G:G,"WFTDA",'Game History'!H:H,"Champs",'Game History'!I:I,Instructions!A86)+COUNTIFS('Game History'!G:G,"WFTDA",'Game History'!H:H,"Playoff",'Game History'!I:I,Instructions!A86)</f>
        <v>0</v>
      </c>
      <c r="L23" s="85" t="n">
        <f aca="false">COUNTIFS('Game History'!G:G,"WFTDA",'Game History'!H:H,"Sanc",'Game History'!I:I,Instructions!A86)</f>
        <v>0</v>
      </c>
      <c r="M23" s="86" t="n">
        <f aca="false">COUNTIFS('Game History'!G:G,"WFTDA",'Game History'!H:H,"Reg",'Game History'!I:I,Instructions!A86)</f>
        <v>2</v>
      </c>
      <c r="N23" s="86" t="n">
        <f aca="false">COUNTIFS('Game History'!G:G,"WFTDA",'Game History'!H:H,"Other",'Game History'!I:I,Instructions!A86)</f>
        <v>0</v>
      </c>
    </row>
    <row r="24" customFormat="false" ht="15" hidden="false" customHeight="true" outlineLevel="0" collapsed="false">
      <c r="A24" s="98" t="s">
        <v>66</v>
      </c>
      <c r="B24" s="98"/>
      <c r="C24" s="81" t="s">
        <v>67</v>
      </c>
      <c r="D24" s="86" t="n">
        <f aca="false">COUNTIFS('Game History'!G:G,"WFTDA",'Game History'!H:H,"Champs",'Game History'!I:I,Instructions!A72)+COUNTIFS('Game History'!G:G,"WFTDA",'Game History'!H:H,"Playoff",'Game History'!I:I,Instructions!A72)+COUNTIFS('Game History'!G:G,"WFTDA",'Game History'!H:H,"Champs",'Game History'!I:I,Instructions!A73)+COUNTIFS('Game History'!G:G,"WFTDA",'Game History'!H:H,"Playoff",'Game History'!I:I,Instructions!A73)</f>
        <v>0</v>
      </c>
      <c r="E24" s="86" t="n">
        <f aca="false">COUNTIFS('Game History'!G:G,"WFTDA",'Game History'!H:H,"Sanc",'Game History'!I:I,Instructions!A72)</f>
        <v>0</v>
      </c>
      <c r="F24" s="86" t="n">
        <f aca="false">COUNTIFS('Game History'!G:G,"WFTDA",'Game History'!H:H,"Reg",'Game History'!I:I,Instructions!A72)</f>
        <v>0</v>
      </c>
      <c r="G24" s="86" t="n">
        <f aca="false">COUNTIFS('Game History'!G:G,"WFTDA",'Game History'!H:H,"Other",'Game History'!I:I,Instructions!A72)</f>
        <v>0</v>
      </c>
      <c r="H24" s="73"/>
      <c r="I24" s="91" t="s">
        <v>68</v>
      </c>
      <c r="J24" s="81" t="s">
        <v>69</v>
      </c>
      <c r="K24" s="86" t="n">
        <f aca="false">COUNTIFS('Game History'!G:G,"WFTDA",'Game History'!H:H,"Champs",'Game History'!I:I,Instructions!A88)+COUNTIFS('Game History'!G:G,"WFTDA",'Game History'!H:H,"Playoff",'Game History'!I:I,Instructions!A88)</f>
        <v>0</v>
      </c>
      <c r="L24" s="85" t="n">
        <f aca="false">COUNTIFS('Game History'!G:G,"WFTDA",'Game History'!H:H,"Sanc",'Game History'!I:I,Instructions!A88)</f>
        <v>0</v>
      </c>
      <c r="M24" s="86" t="n">
        <f aca="false">COUNTIFS('Game History'!G:G,"WFTDA",'Game History'!H:H,"Reg",'Game History'!I:I,Instructions!A88)</f>
        <v>0</v>
      </c>
      <c r="N24" s="86" t="n">
        <f aca="false">COUNTIFS('Game History'!G:G,"WFTDA",'Game History'!H:H,"Other",'Game History'!I:I,Instructions!A88)</f>
        <v>0</v>
      </c>
    </row>
    <row r="25" customFormat="false" ht="15" hidden="false" customHeight="true" outlineLevel="0" collapsed="false">
      <c r="A25" s="99"/>
      <c r="B25" s="67"/>
      <c r="C25" s="67"/>
      <c r="D25" s="67"/>
      <c r="E25" s="67"/>
      <c r="F25" s="67"/>
      <c r="G25" s="67"/>
      <c r="H25" s="95"/>
      <c r="I25" s="100" t="s">
        <v>70</v>
      </c>
      <c r="J25" s="100"/>
      <c r="K25" s="101" t="n">
        <f aca="false">SUM(K14:K24)</f>
        <v>2</v>
      </c>
      <c r="L25" s="101" t="n">
        <f aca="false">SUM(L13:L24)</f>
        <v>3</v>
      </c>
      <c r="M25" s="101" t="n">
        <f aca="false">SUM(M13:M24)</f>
        <v>47</v>
      </c>
      <c r="N25" s="101" t="n">
        <f aca="false">SUM(N13:N24)</f>
        <v>15</v>
      </c>
    </row>
    <row r="26" customFormat="false" ht="15.75" hidden="false" customHeight="false" outlineLevel="0" collapsed="false">
      <c r="A26" s="98" t="s">
        <v>71</v>
      </c>
      <c r="B26" s="98"/>
      <c r="C26" s="98"/>
      <c r="D26" s="98"/>
      <c r="E26" s="98"/>
      <c r="F26" s="98"/>
      <c r="G26" s="98"/>
      <c r="H26" s="73"/>
      <c r="I26" s="102" t="s">
        <v>72</v>
      </c>
      <c r="J26" s="102"/>
      <c r="K26" s="102"/>
      <c r="L26" s="102"/>
      <c r="M26" s="103" t="n">
        <f aca="false">COUNTIFS('Game History'!G:G,"WFTDA",'Game History'!K:K,"Y")</f>
        <v>0</v>
      </c>
      <c r="N26" s="103"/>
    </row>
    <row r="27" customFormat="false" ht="1.5" hidden="false" customHeight="true" outlineLevel="0" collapsed="false">
      <c r="A27" s="104" t="s">
        <v>73</v>
      </c>
      <c r="B27" s="105" t="s">
        <v>74</v>
      </c>
      <c r="C27" s="105" t="s">
        <v>75</v>
      </c>
      <c r="D27" s="104" t="s">
        <v>73</v>
      </c>
      <c r="E27" s="106" t="s">
        <v>74</v>
      </c>
      <c r="F27" s="106"/>
      <c r="G27" s="105" t="s">
        <v>75</v>
      </c>
      <c r="H27" s="58"/>
      <c r="I27" s="67"/>
      <c r="J27" s="67"/>
      <c r="K27" s="67"/>
      <c r="L27" s="67"/>
      <c r="M27" s="107"/>
      <c r="N27" s="67"/>
    </row>
    <row r="28" customFormat="false" ht="15.75" hidden="false" customHeight="false" outlineLevel="0" collapsed="false">
      <c r="A28" s="108"/>
      <c r="B28" s="108"/>
      <c r="C28" s="108"/>
      <c r="D28" s="109"/>
      <c r="E28" s="109"/>
      <c r="F28" s="109"/>
      <c r="G28" s="108"/>
      <c r="H28" s="73"/>
      <c r="I28" s="110" t="s">
        <v>76</v>
      </c>
      <c r="J28" s="110"/>
      <c r="K28" s="111" t="s">
        <v>77</v>
      </c>
      <c r="L28" s="111"/>
      <c r="M28" s="111" t="s">
        <v>78</v>
      </c>
      <c r="N28" s="111"/>
    </row>
    <row r="29" customFormat="false" ht="16.5" hidden="false" customHeight="true" outlineLevel="0" collapsed="false">
      <c r="A29" s="108"/>
      <c r="B29" s="108"/>
      <c r="C29" s="108"/>
      <c r="D29" s="109"/>
      <c r="E29" s="109"/>
      <c r="F29" s="109"/>
      <c r="G29" s="108"/>
      <c r="H29" s="73"/>
      <c r="I29" s="110"/>
      <c r="J29" s="110"/>
      <c r="K29" s="111" t="s">
        <v>79</v>
      </c>
      <c r="L29" s="111" t="s">
        <v>80</v>
      </c>
      <c r="M29" s="111" t="s">
        <v>79</v>
      </c>
      <c r="N29" s="111" t="s">
        <v>80</v>
      </c>
    </row>
    <row r="30" customFormat="false" ht="15.75" hidden="false" customHeight="false" outlineLevel="0" collapsed="false">
      <c r="A30" s="85"/>
      <c r="B30" s="85"/>
      <c r="C30" s="85"/>
      <c r="D30" s="112"/>
      <c r="E30" s="112"/>
      <c r="F30" s="112"/>
      <c r="G30" s="85"/>
      <c r="H30" s="73"/>
      <c r="I30" s="110"/>
      <c r="J30" s="110"/>
      <c r="K30" s="86" t="n">
        <f aca="false">SUM(D18:F18)</f>
        <v>61</v>
      </c>
      <c r="L30" s="86" t="n">
        <f aca="false">SUM(K25:M25)</f>
        <v>52</v>
      </c>
      <c r="M30" s="85" t="n">
        <f aca="false">SUM(D18:G18)</f>
        <v>79</v>
      </c>
      <c r="N30" s="85" t="n">
        <f aca="false">SUM(K25:N25)</f>
        <v>67</v>
      </c>
    </row>
    <row r="31" customFormat="false" ht="16.5" hidden="false" customHeight="true" outlineLevel="0" collapsed="false">
      <c r="A31" s="113"/>
      <c r="B31" s="113"/>
      <c r="C31" s="113"/>
      <c r="D31" s="113"/>
      <c r="E31" s="113"/>
      <c r="F31" s="113"/>
      <c r="G31" s="114"/>
      <c r="H31" s="114"/>
      <c r="I31" s="113"/>
      <c r="J31" s="113"/>
      <c r="K31" s="113"/>
      <c r="L31" s="11"/>
      <c r="M31" s="54"/>
      <c r="N31" s="54"/>
    </row>
    <row r="32" customFormat="false" ht="13.5" hidden="false" customHeight="true" outlineLevel="0" collapsed="false">
      <c r="A32" s="53"/>
      <c r="B32" s="53"/>
      <c r="C32" s="53"/>
      <c r="D32" s="53"/>
      <c r="E32" s="53"/>
      <c r="F32" s="53"/>
      <c r="G32" s="115"/>
      <c r="H32" s="115"/>
      <c r="I32" s="53"/>
      <c r="J32" s="53"/>
      <c r="K32" s="53"/>
      <c r="L32" s="53"/>
      <c r="M32" s="69"/>
      <c r="N32" s="69"/>
    </row>
    <row r="33" customFormat="false" ht="18" hidden="false" customHeight="true" outlineLevel="0" collapsed="false">
      <c r="A33" s="116" t="s">
        <v>81</v>
      </c>
      <c r="B33" s="116"/>
      <c r="C33" s="116"/>
      <c r="D33" s="116"/>
      <c r="E33" s="116"/>
      <c r="F33" s="116"/>
      <c r="G33" s="116"/>
      <c r="H33" s="116"/>
      <c r="I33" s="116"/>
      <c r="J33" s="116"/>
      <c r="K33" s="116"/>
      <c r="L33" s="116"/>
      <c r="M33" s="116"/>
      <c r="N33" s="116"/>
    </row>
    <row r="34" customFormat="false" ht="18" hidden="false" customHeight="true" outlineLevel="0" collapsed="false">
      <c r="A34" s="55" t="s">
        <v>16</v>
      </c>
      <c r="B34" s="55"/>
      <c r="C34" s="71" t="s">
        <v>17</v>
      </c>
      <c r="D34" s="72" t="s">
        <v>18</v>
      </c>
      <c r="E34" s="72"/>
      <c r="F34" s="72"/>
      <c r="G34" s="72"/>
      <c r="H34" s="73"/>
      <c r="I34" s="65" t="s">
        <v>19</v>
      </c>
      <c r="J34" s="74" t="s">
        <v>17</v>
      </c>
      <c r="K34" s="75" t="s">
        <v>18</v>
      </c>
      <c r="L34" s="75"/>
      <c r="M34" s="75"/>
      <c r="N34" s="75"/>
    </row>
    <row r="35" customFormat="false" ht="28.5" hidden="false" customHeight="true" outlineLevel="0" collapsed="false">
      <c r="A35" s="55"/>
      <c r="B35" s="55"/>
      <c r="C35" s="71"/>
      <c r="D35" s="76" t="s">
        <v>20</v>
      </c>
      <c r="E35" s="77" t="s">
        <v>21</v>
      </c>
      <c r="F35" s="77" t="s">
        <v>22</v>
      </c>
      <c r="G35" s="77" t="s">
        <v>23</v>
      </c>
      <c r="H35" s="73"/>
      <c r="I35" s="65"/>
      <c r="J35" s="65"/>
      <c r="K35" s="78" t="s">
        <v>20</v>
      </c>
      <c r="L35" s="79" t="s">
        <v>21</v>
      </c>
      <c r="M35" s="79" t="s">
        <v>22</v>
      </c>
      <c r="N35" s="79" t="s">
        <v>23</v>
      </c>
    </row>
    <row r="36" customFormat="false" ht="15" hidden="false" customHeight="true" outlineLevel="0" collapsed="false">
      <c r="A36" s="80" t="s">
        <v>24</v>
      </c>
      <c r="B36" s="80"/>
      <c r="C36" s="81" t="s">
        <v>25</v>
      </c>
      <c r="D36" s="82" t="s">
        <v>26</v>
      </c>
      <c r="E36" s="83" t="n">
        <f aca="false">COUNTIFS('Game History'!G:G,"MRDA",'Game History'!H:H,"Sanc",'Game History'!I:I,Instructions!A70)</f>
        <v>0</v>
      </c>
      <c r="F36" s="83" t="n">
        <f aca="false">COUNTIFS('Game History'!G:G,"MRDA",'Game History'!H:H,"Reg",'Game History'!I:I,Instructions!A70)</f>
        <v>0</v>
      </c>
      <c r="G36" s="83" t="n">
        <f aca="false">COUNTIFS('Game History'!G:G,"MRDA",'Game History'!H:H,"Other",'Game History'!I:I,Instructions!A70)</f>
        <v>0</v>
      </c>
      <c r="H36" s="73"/>
      <c r="I36" s="84" t="s">
        <v>27</v>
      </c>
      <c r="J36" s="81" t="s">
        <v>28</v>
      </c>
      <c r="K36" s="85" t="s">
        <v>26</v>
      </c>
      <c r="L36" s="85" t="n">
        <f aca="false">COUNTIFS('Game History'!G:G,"MRDA",'Game History'!H:H,"Sanc",'Game History'!I:I,Instructions!A73)</f>
        <v>0</v>
      </c>
      <c r="M36" s="86" t="n">
        <f aca="false">COUNTIFS('Game History'!G:G,"MRDA",'Game History'!H:H,"Reg",'Game History'!I:I,Instructions!A73)</f>
        <v>0</v>
      </c>
      <c r="N36" s="86" t="n">
        <f aca="false">COUNTIFS('Game History'!G:G,"MRDA",'Game History'!H:H,"Other",'Game History'!I:I,Instructions!A73)</f>
        <v>0</v>
      </c>
    </row>
    <row r="37" customFormat="false" ht="15" hidden="false" customHeight="true" outlineLevel="0" collapsed="false">
      <c r="A37" s="80" t="s">
        <v>29</v>
      </c>
      <c r="B37" s="80"/>
      <c r="C37" s="81" t="s">
        <v>30</v>
      </c>
      <c r="D37" s="87" t="n">
        <f aca="false">COUNTIFS('Game History'!G:G,"MRDA",'Game History'!H:H,"Champs",'Game History'!I:I,Instructions!A74)+COUNTIFS('Game History'!G:G,"MRDA",'Game History'!H:H,"Playoff",'Game History'!I:I,Instructions!A74)</f>
        <v>0</v>
      </c>
      <c r="E37" s="88" t="n">
        <f aca="false">COUNTIFS('Game History'!G:G,"MRDA",'Game History'!H:H,"Sanc",'Game History'!I:I,Instructions!A74)</f>
        <v>0</v>
      </c>
      <c r="F37" s="88" t="n">
        <f aca="false">COUNTIFS('Game History'!G:G,"MRDA",'Game History'!H:H,"Reg",'Game History'!I:I,Instructions!A74)</f>
        <v>0</v>
      </c>
      <c r="G37" s="88" t="n">
        <f aca="false">COUNTIFS('Game History'!G:G,"MRDA",'Game History'!H:H,"Other",'Game History'!I:I,Instructions!A74)</f>
        <v>0</v>
      </c>
      <c r="H37" s="73"/>
      <c r="I37" s="89" t="s">
        <v>31</v>
      </c>
      <c r="J37" s="81" t="s">
        <v>32</v>
      </c>
      <c r="K37" s="86" t="n">
        <f aca="false">COUNTIFS('Game History'!G:G,"MRDA",'Game History'!H:H,"Champs",'Game History'!I:I,Instructions!A77)+COUNTIFS('Game History'!G:G,"MRDA",'Game History'!H:H,"Playoff",'Game History'!I:I,Instructions!A77)</f>
        <v>0</v>
      </c>
      <c r="L37" s="85" t="n">
        <f aca="false">COUNTIFS('Game History'!G:G,"MRDA",'Game History'!H:H,"Sanc",'Game History'!I:I,Instructions!A77)</f>
        <v>0</v>
      </c>
      <c r="M37" s="86" t="n">
        <f aca="false">COUNTIFS('Game History'!G:G,"MRDA",'Game History'!H:H,"Reg",'Game History'!I:I,Instructions!A77)</f>
        <v>0</v>
      </c>
      <c r="N37" s="86" t="n">
        <f aca="false">COUNTIFS('Game History'!G:G,"MRDA",'Game History'!H:H,"Other",'Game History'!I:I,Instructions!A77)</f>
        <v>0</v>
      </c>
    </row>
    <row r="38" customFormat="false" ht="15" hidden="false" customHeight="true" outlineLevel="0" collapsed="false">
      <c r="A38" s="80" t="s">
        <v>33</v>
      </c>
      <c r="B38" s="90"/>
      <c r="C38" s="81" t="s">
        <v>34</v>
      </c>
      <c r="D38" s="87" t="n">
        <f aca="false">COUNTIFS('Game History'!G:G,"MRDA",'Game History'!H:H,"Champs",'Game History'!I:I,Instructions!A75)+COUNTIFS('Game History'!G:G,"MRDA",'Game History'!H:H,"Playoff",'Game History'!I:I,Instructions!A75)</f>
        <v>0</v>
      </c>
      <c r="E38" s="88" t="n">
        <f aca="false">COUNTIFS('Game History'!G:G,"MRDA",'Game History'!H:H,"Sanc",'Game History'!I:I,Instructions!A75)</f>
        <v>0</v>
      </c>
      <c r="F38" s="88" t="n">
        <f aca="false">COUNTIFS('Game History'!G:G,"MRDA",'Game History'!H:H,"Reg",'Game History'!I:I,Instructions!A75)</f>
        <v>0</v>
      </c>
      <c r="G38" s="88" t="n">
        <f aca="false">COUNTIFS('Game History'!G:G,"MRDA",'Game History'!H:H,"Other",'Game History'!I:I,Instructions!A75)</f>
        <v>0</v>
      </c>
      <c r="H38" s="73"/>
      <c r="I38" s="91" t="s">
        <v>35</v>
      </c>
      <c r="J38" s="81" t="s">
        <v>36</v>
      </c>
      <c r="K38" s="86" t="n">
        <f aca="false">COUNTIFS('Game History'!G:G,"MRDA",'Game History'!H:H,"Champs",'Game History'!I:I,Instructions!A78)+COUNTIFS('Game History'!G:G,"MRDA",'Game History'!H:H,"Playoff",'Game History'!I:I,Instructions!A78)</f>
        <v>0</v>
      </c>
      <c r="L38" s="85" t="n">
        <f aca="false">COUNTIFS('Game History'!G:G,"MRDA",'Game History'!H:H,"Sanc",'Game History'!I:I,Instructions!A78)</f>
        <v>0</v>
      </c>
      <c r="M38" s="86" t="n">
        <f aca="false">COUNTIFS('Game History'!G:G,"MRDA",'Game History'!H:H,"Reg",'Game History'!I:I,Instructions!A78)</f>
        <v>0</v>
      </c>
      <c r="N38" s="86" t="n">
        <f aca="false">COUNTIFS('Game History'!G:G,"MRDA",'Game History'!H:H,"Other",'Game History'!I:I,Instructions!A78)</f>
        <v>0</v>
      </c>
    </row>
    <row r="39" customFormat="false" ht="15" hidden="false" customHeight="true" outlineLevel="0" collapsed="false">
      <c r="A39" s="80" t="s">
        <v>37</v>
      </c>
      <c r="B39" s="80"/>
      <c r="C39" s="81" t="s">
        <v>38</v>
      </c>
      <c r="D39" s="87" t="n">
        <f aca="false">COUNTIFS('Game History'!G:G,"MRDA",'Game History'!H:H,"Champs",'Game History'!I:I,Instructions!A76)+COUNTIFS('Game History'!G:G,"MRDA",'Game History'!H:H,"Playoff",'Game History'!I:I,Instructions!A76)</f>
        <v>0</v>
      </c>
      <c r="E39" s="88" t="n">
        <f aca="false">COUNTIFS('Game History'!G:G,"MRDA",'Game History'!H:H,"Sanc",'Game History'!I:I,Instructions!A76)</f>
        <v>0</v>
      </c>
      <c r="F39" s="88" t="n">
        <f aca="false">COUNTIFS('Game History'!G:G,"MRDA",'Game History'!H:H,"Reg",'Game History'!I:I,Instructions!A76)</f>
        <v>0</v>
      </c>
      <c r="G39" s="88" t="n">
        <f aca="false">COUNTIFS('Game History'!G:G,"MRDA",'Game History'!H:H,"Other",'Game History'!I:I,Instructions!A76)</f>
        <v>0</v>
      </c>
      <c r="H39" s="73"/>
      <c r="I39" s="91" t="s">
        <v>39</v>
      </c>
      <c r="J39" s="81" t="s">
        <v>40</v>
      </c>
      <c r="K39" s="86" t="n">
        <f aca="false">COUNTIFS('Game History'!G:G,"MRDA",'Game History'!H:H,"Champs",'Game History'!I:I,Instructions!A79)+COUNTIFS('Game History'!G:G,"MRDA",'Game History'!H:H,"Playoff",'Game History'!I:I,Instructions!A79)</f>
        <v>0</v>
      </c>
      <c r="L39" s="85" t="n">
        <f aca="false">COUNTIFS('Game History'!G:G,"MRDA",'Game History'!H:H,"Sanc",'Game History'!I:I,Instructions!A79)</f>
        <v>0</v>
      </c>
      <c r="M39" s="86" t="n">
        <f aca="false">COUNTIFS('Game History'!G:G,"MRDA",'Game History'!H:H,"Reg",'Game History'!I:I,Instructions!A79)</f>
        <v>0</v>
      </c>
      <c r="N39" s="86" t="n">
        <f aca="false">COUNTIFS('Game History'!G:G,"MRDA",'Game History'!H:H,"Other",'Game History'!I:I,Instructions!A79)</f>
        <v>0</v>
      </c>
    </row>
    <row r="40" customFormat="false" ht="15" hidden="false" customHeight="true" outlineLevel="0" collapsed="false">
      <c r="A40" s="80" t="s">
        <v>41</v>
      </c>
      <c r="B40" s="80"/>
      <c r="C40" s="81" t="s">
        <v>42</v>
      </c>
      <c r="D40" s="87" t="n">
        <f aca="false">COUNTIFS('Game History'!G:G,"MRDA",'Game History'!H:H,"Champs",'Game History'!I:I,Instructions!A87)+COUNTIFS('Game History'!G:G,"MRDA",'Game History'!H:H,"Playoff",'Game History'!I:I,Instructions!A87)</f>
        <v>0</v>
      </c>
      <c r="E40" s="88" t="n">
        <f aca="false">COUNTIFS('Game History'!G:G,"MRDA",'Game History'!H:H,"Sanc",'Game History'!I:I,Instructions!A87)</f>
        <v>0</v>
      </c>
      <c r="F40" s="88" t="n">
        <f aca="false">COUNTIFS('Game History'!G:G,"MRDA",'Game History'!H:H,"Reg",'Game History'!I:I,Instructions!A87)</f>
        <v>0</v>
      </c>
      <c r="G40" s="88" t="n">
        <f aca="false">COUNTIFS('Game History'!G:G,"MRDA",'Game History'!H:H,"Other",'Game History'!I:I,Instructions!A87)</f>
        <v>0</v>
      </c>
      <c r="H40" s="73"/>
      <c r="I40" s="91" t="s">
        <v>43</v>
      </c>
      <c r="J40" s="81" t="s">
        <v>44</v>
      </c>
      <c r="K40" s="86" t="n">
        <f aca="false">COUNTIFS('Game History'!G:G,"MRDA",'Game History'!H:H,"Champs",'Game History'!I:I,Instructions!A80)+COUNTIFS('Game History'!G:G,"MRDA",'Game History'!H:H,"Playoff",'Game History'!I:I,Instructions!A80)</f>
        <v>0</v>
      </c>
      <c r="L40" s="85" t="n">
        <f aca="false">COUNTIFS('Game History'!G:G,"MRDA",'Game History'!H:H,"Sanc",'Game History'!I:I,Instructions!A80)</f>
        <v>0</v>
      </c>
      <c r="M40" s="86" t="n">
        <f aca="false">COUNTIFS('Game History'!G:G,"MRDA",'Game History'!H:H,"Reg",'Game History'!I:I,Instructions!A80)</f>
        <v>0</v>
      </c>
      <c r="N40" s="86" t="n">
        <f aca="false">COUNTIFS('Game History'!G:G,"MRDA",'Game History'!H:H,"Other",'Game History'!I:I,Instructions!A80)</f>
        <v>0</v>
      </c>
    </row>
    <row r="41" customFormat="false" ht="15" hidden="false" customHeight="true" outlineLevel="0" collapsed="false">
      <c r="A41" s="92" t="s">
        <v>45</v>
      </c>
      <c r="B41" s="92"/>
      <c r="C41" s="92"/>
      <c r="D41" s="93" t="n">
        <f aca="false">SUM(D36:D40)</f>
        <v>0</v>
      </c>
      <c r="E41" s="93" t="n">
        <f aca="false">SUM(E36:E40)</f>
        <v>0</v>
      </c>
      <c r="F41" s="93" t="n">
        <f aca="false">SUM(F36:F40)</f>
        <v>0</v>
      </c>
      <c r="G41" s="93" t="n">
        <f aca="false">SUM(G36:G40)</f>
        <v>0</v>
      </c>
      <c r="H41" s="73"/>
      <c r="I41" s="91" t="s">
        <v>46</v>
      </c>
      <c r="J41" s="81" t="s">
        <v>47</v>
      </c>
      <c r="K41" s="86" t="n">
        <f aca="false">COUNTIFS('Game History'!G:G,"MRDA",'Game History'!H:H,"Champs",'Game History'!I:I,Instructions!A81)+COUNTIFS('Game History'!G:G,"MRDA",'Game History'!H:H,"Playoff",'Game History'!I:I,Instructions!A81)</f>
        <v>0</v>
      </c>
      <c r="L41" s="85" t="n">
        <f aca="false">COUNTIFS('Game History'!G:G,"MRDA",'Game History'!H:H,"Sanc",'Game History'!I:I,Instructions!A81)</f>
        <v>0</v>
      </c>
      <c r="M41" s="86" t="n">
        <f aca="false">COUNTIFS('Game History'!G:G,"MRDA",'Game History'!H:H,"Reg",'Game History'!I:I,Instructions!A81)</f>
        <v>0</v>
      </c>
      <c r="N41" s="86" t="n">
        <f aca="false">COUNTIFS('Game History'!G:G,"MRDA",'Game History'!H:H,"Other",'Game History'!I:I,Instructions!A81)</f>
        <v>0</v>
      </c>
    </row>
    <row r="42" customFormat="false" ht="15" hidden="false" customHeight="true" outlineLevel="0" collapsed="false">
      <c r="A42" s="67"/>
      <c r="B42" s="67"/>
      <c r="C42" s="94"/>
      <c r="D42" s="67"/>
      <c r="E42" s="67"/>
      <c r="F42" s="67"/>
      <c r="G42" s="67"/>
      <c r="H42" s="95"/>
      <c r="I42" s="91" t="s">
        <v>48</v>
      </c>
      <c r="J42" s="81" t="s">
        <v>49</v>
      </c>
      <c r="K42" s="86" t="n">
        <f aca="false">COUNTIFS('Game History'!G:G,"MRDA",'Game History'!H:H,"Champs",'Game History'!I:I,Instructions!A82)+COUNTIFS('Game History'!G:G,"MRDA",'Game History'!H:H,"Playoff",'Game History'!I:I,Instructions!A82)</f>
        <v>0</v>
      </c>
      <c r="L42" s="85" t="n">
        <f aca="false">COUNTIFS('Game History'!G:G,"MRDA",'Game History'!H:H,"Sanc",'Game History'!I:I,Instructions!A82)</f>
        <v>0</v>
      </c>
      <c r="M42" s="86" t="n">
        <f aca="false">COUNTIFS('Game History'!G:G,"MRDA",'Game History'!H:H,"Reg",'Game History'!I:I,Instructions!A82)</f>
        <v>0</v>
      </c>
      <c r="N42" s="86" t="n">
        <f aca="false">COUNTIFS('Game History'!G:G,"MRDA",'Game History'!H:H,"Other",'Game History'!I:I,Instructions!A82)</f>
        <v>0</v>
      </c>
    </row>
    <row r="43" customFormat="false" ht="15" hidden="false" customHeight="true" outlineLevel="0" collapsed="false">
      <c r="A43" s="80" t="s">
        <v>50</v>
      </c>
      <c r="B43" s="80"/>
      <c r="C43" s="81" t="s">
        <v>51</v>
      </c>
      <c r="D43" s="86" t="n">
        <f aca="false">COUNTIFS('Game History'!G:G,"MRDA",'Game History'!H:H,"Champs",'Game History'!I:I,Instructions!A68)+COUNTIFS('Game History'!G:G,"MRDA",'Game History'!H:H,"Playoff",'Game History'!I:I,Instructions!A68)</f>
        <v>0</v>
      </c>
      <c r="E43" s="86" t="n">
        <f aca="false">COUNTIFS('Game History'!G:G,"MRDA",'Game History'!H:H,"Sanc",'Game History'!I:I,Instructions!A68)</f>
        <v>0</v>
      </c>
      <c r="F43" s="86" t="n">
        <f aca="false">COUNTIFS('Game History'!G:G,"MRDA",'Game History'!H:H,"Reg",'Game History'!I:I,Instructions!A68)</f>
        <v>0</v>
      </c>
      <c r="G43" s="86" t="n">
        <f aca="false">COUNTIFS('Game History'!G:G,"MRDA",'Game History'!H:H,"Other",'Game History'!I:I,Instructions!A68)</f>
        <v>0</v>
      </c>
      <c r="H43" s="73"/>
      <c r="I43" s="91" t="s">
        <v>52</v>
      </c>
      <c r="J43" s="81" t="s">
        <v>53</v>
      </c>
      <c r="K43" s="86" t="n">
        <f aca="false">COUNTIFS('Game History'!G:G,"MRDA",'Game History'!H:H,"Champs",'Game History'!I:I,Instructions!A83)+COUNTIFS('Game History'!G:G,"MRDA",'Game History'!H:H,"Playoff",'Game History'!I:I,Instructions!A83)</f>
        <v>0</v>
      </c>
      <c r="L43" s="85" t="n">
        <f aca="false">COUNTIFS('Game History'!G:G,"MRDA",'Game History'!H:H,"Sanc",'Game History'!I:I,Instructions!A83)</f>
        <v>0</v>
      </c>
      <c r="M43" s="86" t="n">
        <f aca="false">COUNTIFS('Game History'!G:G,"MRDA",'Game History'!H:H,"Reg",'Game History'!I:I,Instructions!A83)</f>
        <v>1</v>
      </c>
      <c r="N43" s="86" t="n">
        <f aca="false">COUNTIFS('Game History'!G:G,"MRDA",'Game History'!H:H,"Other",'Game History'!I:I,Instructions!A83)</f>
        <v>0</v>
      </c>
    </row>
    <row r="44" customFormat="false" ht="15" hidden="false" customHeight="true" outlineLevel="0" collapsed="false">
      <c r="A44" s="80" t="s">
        <v>54</v>
      </c>
      <c r="B44" s="80"/>
      <c r="C44" s="81" t="s">
        <v>55</v>
      </c>
      <c r="D44" s="86" t="n">
        <f aca="false">COUNTIFS('Game History'!G:G,"MRDA",'Game History'!H:H,"Champs",'Game History'!I:I,Instructions!A69)+COUNTIFS('Game History'!G:G,"MRDA",'Game History'!H:H,"Playoff",'Game History'!I:I,Instructions!A69)+COUNTIFS('Game History'!G:G,"MRDA",'Game History'!H:H,"Champs",'Game History'!I:I,Instructions!A70)+COUNTIFS('Game History'!G:G,"MRDA",'Game History'!H:H,"Playoff",'Game History'!I:I,Instructions!A70)</f>
        <v>0</v>
      </c>
      <c r="E44" s="86" t="n">
        <f aca="false">COUNTIFS('Game History'!G:G,"MRDA",'Game History'!H:H,"Sanc",'Game History'!I:I,Instructions!A69)</f>
        <v>0</v>
      </c>
      <c r="F44" s="86" t="n">
        <f aca="false">COUNTIFS('Game History'!G:G,"MRDA",'Game History'!H:H,"Reg",'Game History'!I:I,Instructions!A69)</f>
        <v>0</v>
      </c>
      <c r="G44" s="86" t="n">
        <f aca="false">COUNTIFS('Game History'!G:G,"MRDA",'Game History'!H:H,"Other",'Game History'!I:I,Instructions!A69)</f>
        <v>0</v>
      </c>
      <c r="H44" s="73"/>
      <c r="I44" s="91" t="s">
        <v>56</v>
      </c>
      <c r="J44" s="81" t="s">
        <v>57</v>
      </c>
      <c r="K44" s="86" t="n">
        <f aca="false">COUNTIFS('Game History'!G:G,"MRDA",'Game History'!H:H,"Champs",'Game History'!I:I,Instructions!A84)+COUNTIFS('Game History'!G:G,"MRDA",'Game History'!H:H,"Playoff",'Game History'!I:I,Instructions!A84)</f>
        <v>0</v>
      </c>
      <c r="L44" s="85" t="n">
        <f aca="false">COUNTIFS('Game History'!G:G,"MRDA",'Game History'!H:H,"Sanc",'Game History'!I:I,Instructions!A84)</f>
        <v>0</v>
      </c>
      <c r="M44" s="86" t="n">
        <f aca="false">COUNTIFS('Game History'!G:G,"MRDA",'Game History'!H:H,"Reg",'Game History'!I:I,Instructions!A84)</f>
        <v>0</v>
      </c>
      <c r="N44" s="86" t="n">
        <f aca="false">COUNTIFS('Game History'!G:G,"MRDA",'Game History'!H:H,"Other",'Game History'!I:I,Instructions!A84)</f>
        <v>0</v>
      </c>
    </row>
    <row r="45" customFormat="false" ht="15" hidden="false" customHeight="true" outlineLevel="0" collapsed="false">
      <c r="A45" s="96" t="s">
        <v>58</v>
      </c>
      <c r="B45" s="96"/>
      <c r="C45" s="97" t="s">
        <v>59</v>
      </c>
      <c r="D45" s="86" t="n">
        <f aca="false">COUNTIFS('Game History'!G:G,"MRDA",'Game History'!H:H,"Champs",'Game History'!I:I,Instructions!A67)+COUNTIFS('Game History'!G:G,"MRDA",'Game History'!H:H,"Playoff",'Game History'!I:I,Instructions!A67)</f>
        <v>0</v>
      </c>
      <c r="E45" s="86" t="n">
        <f aca="false">COUNTIFS('Game History'!G:G,"MRDA",'Game History'!H:H,"Sanc",'Game History'!I:I,Instructions!A67)</f>
        <v>0</v>
      </c>
      <c r="F45" s="86" t="n">
        <f aca="false">COUNTIFS('Game History'!G:G,"MRDA",'Game History'!H:H,"Reg",'Game History'!I:I,Instructions!A67)</f>
        <v>0</v>
      </c>
      <c r="G45" s="86" t="n">
        <f aca="false">COUNTIFS('Game History'!G:G,"MRDA",'Game History'!H:H,"Other",'Game History'!I:I,Instructions!A67)</f>
        <v>0</v>
      </c>
      <c r="H45" s="73"/>
      <c r="I45" s="91" t="s">
        <v>60</v>
      </c>
      <c r="J45" s="81" t="s">
        <v>61</v>
      </c>
      <c r="K45" s="86" t="n">
        <f aca="false">COUNTIFS('Game History'!G:G,"MRDA",'Game History'!H:H,"Champs",'Game History'!I:I,Instructions!A85)+COUNTIFS('Game History'!G:G,"MRDA",'Game History'!H:H,"Playoff",'Game History'!I:I,Instructions!A85)</f>
        <v>0</v>
      </c>
      <c r="L45" s="85" t="n">
        <f aca="false">COUNTIFS('Game History'!G:G,"MRDA",'Game History'!H:H,"Sanc",'Game History'!I:I,Instructions!A85)</f>
        <v>0</v>
      </c>
      <c r="M45" s="86" t="n">
        <f aca="false">COUNTIFS('Game History'!G:G,"MRDA",'Game History'!H:H,"Reg",'Game History'!I:I,Instructions!A85)</f>
        <v>0</v>
      </c>
      <c r="N45" s="86" t="n">
        <f aca="false">COUNTIFS('Game History'!G:G,"MRDA",'Game History'!H:H,"Other",'Game History'!I:I,Instructions!A85)</f>
        <v>0</v>
      </c>
    </row>
    <row r="46" customFormat="false" ht="15" hidden="false" customHeight="true" outlineLevel="0" collapsed="false">
      <c r="A46" s="98" t="s">
        <v>62</v>
      </c>
      <c r="B46" s="98"/>
      <c r="C46" s="81" t="s">
        <v>63</v>
      </c>
      <c r="D46" s="86" t="n">
        <f aca="false">COUNTIFS('Game History'!G:G,"MRDA",'Game History'!H:H,"Champs",'Game History'!I:I,Instructions!A71)+COUNTIFS('Game History'!G:G,"MRDA",'Game History'!H:H,"Playoff",'Game History'!I:I,Instructions!A71)</f>
        <v>0</v>
      </c>
      <c r="E46" s="86" t="n">
        <f aca="false">COUNTIFS('Game History'!G:G,"MRDA",'Game History'!H:H,"Sanc",'Game History'!I:I,Instructions!A71)</f>
        <v>0</v>
      </c>
      <c r="F46" s="86" t="n">
        <f aca="false">COUNTIFS('Game History'!G:G,"MRDA",'Game History'!H:H,"Reg",'Game History'!I:I,Instructions!A71)</f>
        <v>0</v>
      </c>
      <c r="G46" s="86" t="n">
        <f aca="false">COUNTIFS('Game History'!G:G,"MRDA",'Game History'!H:H,"Other",'Game History'!I:I,Instructions!A71)</f>
        <v>0</v>
      </c>
      <c r="H46" s="73"/>
      <c r="I46" s="91" t="s">
        <v>64</v>
      </c>
      <c r="J46" s="81" t="s">
        <v>65</v>
      </c>
      <c r="K46" s="86" t="n">
        <f aca="false">COUNTIFS('Game History'!G:G,"MRDA",'Game History'!H:H,"Champs",'Game History'!I:I,Instructions!A86)+COUNTIFS('Game History'!G:G,"MRDA",'Game History'!H:H,"Playoff",'Game History'!I:I,Instructions!A86)</f>
        <v>0</v>
      </c>
      <c r="L46" s="85" t="n">
        <f aca="false">COUNTIFS('Game History'!G:G,"MRDA",'Game History'!H:H,"Sanc",'Game History'!I:I,Instructions!A86)</f>
        <v>0</v>
      </c>
      <c r="M46" s="86" t="n">
        <f aca="false">COUNTIFS('Game History'!G:G,"MRDA",'Game History'!H:H,"Reg",'Game History'!I:I,Instructions!A86)</f>
        <v>0</v>
      </c>
      <c r="N46" s="86" t="n">
        <f aca="false">COUNTIFS('Game History'!G:G,"MRDA",'Game History'!H:H,"Other",'Game History'!I:I,Instructions!A86)</f>
        <v>0</v>
      </c>
    </row>
    <row r="47" customFormat="false" ht="15" hidden="false" customHeight="true" outlineLevel="0" collapsed="false">
      <c r="A47" s="98" t="s">
        <v>66</v>
      </c>
      <c r="B47" s="98"/>
      <c r="C47" s="81" t="s">
        <v>67</v>
      </c>
      <c r="D47" s="86" t="n">
        <f aca="false">COUNTIFS('Game History'!G:G,"MRDA",'Game History'!H:H,"Champs",'Game History'!I:I,Instructions!A72)+COUNTIFS('Game History'!G:G,"MRDA",'Game History'!H:H,"Playoff",'Game History'!I:I,Instructions!A72)+COUNTIFS('Game History'!G:G,"MRDA",'Game History'!H:H,"Champs",'Game History'!I:I,Instructions!A73)+COUNTIFS('Game History'!G:G,"MRDA",'Game History'!H:H,"Playoff",'Game History'!I:I,Instructions!A73)</f>
        <v>0</v>
      </c>
      <c r="E47" s="86" t="n">
        <f aca="false">COUNTIFS('Game History'!G:G,"MRDA",'Game History'!H:H,"Sanc",'Game History'!I:I,Instructions!A72)</f>
        <v>0</v>
      </c>
      <c r="F47" s="86" t="n">
        <f aca="false">COUNTIFS('Game History'!G:G,"MRDA",'Game History'!H:H,"Reg",'Game History'!I:I,Instructions!A72)</f>
        <v>0</v>
      </c>
      <c r="G47" s="86" t="n">
        <f aca="false">COUNTIFS('Game History'!G:G,"MRDA",'Game History'!H:H,"Other",'Game History'!I:I,Instructions!A72)</f>
        <v>0</v>
      </c>
      <c r="H47" s="73"/>
      <c r="I47" s="91" t="s">
        <v>68</v>
      </c>
      <c r="J47" s="81" t="s">
        <v>69</v>
      </c>
      <c r="K47" s="86" t="n">
        <f aca="false">COUNTIFS('Game History'!G:G,"MRDA",'Game History'!H:H,"Champs",'Game History'!I:I,Instructions!A88)+COUNTIFS('Game History'!G:G,"MRDA",'Game History'!H:H,"Playoff",'Game History'!I:I,Instructions!A88)</f>
        <v>0</v>
      </c>
      <c r="L47" s="85" t="n">
        <f aca="false">COUNTIFS('Game History'!G:G,"MRDA",'Game History'!H:H,"Sanc",'Game History'!I:I,Instructions!A88)</f>
        <v>0</v>
      </c>
      <c r="M47" s="86" t="n">
        <f aca="false">COUNTIFS('Game History'!G:G,"MRDA",'Game History'!H:H,"Reg",'Game History'!I:I,Instructions!A88)</f>
        <v>0</v>
      </c>
      <c r="N47" s="86" t="n">
        <f aca="false">COUNTIFS('Game History'!G:G,"MRDA",'Game History'!H:H,"Other",'Game History'!I:I,Instructions!A88)</f>
        <v>0</v>
      </c>
    </row>
    <row r="48" customFormat="false" ht="15" hidden="false" customHeight="true" outlineLevel="0" collapsed="false">
      <c r="A48" s="99"/>
      <c r="B48" s="67"/>
      <c r="C48" s="67"/>
      <c r="D48" s="67"/>
      <c r="E48" s="67"/>
      <c r="F48" s="67"/>
      <c r="G48" s="67"/>
      <c r="H48" s="95"/>
      <c r="I48" s="100" t="s">
        <v>70</v>
      </c>
      <c r="J48" s="100"/>
      <c r="K48" s="101" t="n">
        <f aca="false">SUM(K36:K47)</f>
        <v>0</v>
      </c>
      <c r="L48" s="101" t="n">
        <f aca="false">SUM(L36:L47)</f>
        <v>0</v>
      </c>
      <c r="M48" s="101" t="n">
        <f aca="false">SUM(M36:M47)</f>
        <v>1</v>
      </c>
      <c r="N48" s="101" t="n">
        <f aca="false">SUM(N36:N47)</f>
        <v>0</v>
      </c>
    </row>
    <row r="49" customFormat="false" ht="15.75" hidden="false" customHeight="false" outlineLevel="0" collapsed="false">
      <c r="A49" s="98" t="s">
        <v>82</v>
      </c>
      <c r="B49" s="98"/>
      <c r="C49" s="98"/>
      <c r="D49" s="98"/>
      <c r="E49" s="98"/>
      <c r="F49" s="98"/>
      <c r="G49" s="98"/>
      <c r="H49" s="73"/>
      <c r="I49" s="102" t="s">
        <v>72</v>
      </c>
      <c r="J49" s="102"/>
      <c r="K49" s="102"/>
      <c r="L49" s="102"/>
      <c r="M49" s="103" t="n">
        <f aca="false">COUNTIFS('Game History'!G:G,"MRDA",'Game History'!K:K,"Y")</f>
        <v>0</v>
      </c>
      <c r="N49" s="103"/>
    </row>
    <row r="50" customFormat="false" ht="1.5" hidden="false" customHeight="true" outlineLevel="0" collapsed="false">
      <c r="A50" s="104" t="s">
        <v>73</v>
      </c>
      <c r="B50" s="105" t="s">
        <v>74</v>
      </c>
      <c r="C50" s="105" t="s">
        <v>75</v>
      </c>
      <c r="D50" s="104" t="s">
        <v>73</v>
      </c>
      <c r="E50" s="106" t="s">
        <v>74</v>
      </c>
      <c r="F50" s="106"/>
      <c r="G50" s="105" t="s">
        <v>75</v>
      </c>
      <c r="H50" s="58"/>
      <c r="I50" s="67"/>
      <c r="J50" s="67"/>
      <c r="K50" s="67"/>
      <c r="L50" s="67"/>
      <c r="M50" s="107"/>
      <c r="N50" s="67"/>
    </row>
    <row r="51" customFormat="false" ht="15.75" hidden="false" customHeight="false" outlineLevel="0" collapsed="false">
      <c r="A51" s="108"/>
      <c r="B51" s="108"/>
      <c r="C51" s="108"/>
      <c r="D51" s="109"/>
      <c r="E51" s="109"/>
      <c r="F51" s="109"/>
      <c r="G51" s="108"/>
      <c r="H51" s="73"/>
      <c r="I51" s="110" t="s">
        <v>83</v>
      </c>
      <c r="J51" s="110"/>
      <c r="K51" s="111" t="s">
        <v>77</v>
      </c>
      <c r="L51" s="111"/>
      <c r="M51" s="111" t="s">
        <v>78</v>
      </c>
      <c r="N51" s="111"/>
    </row>
    <row r="52" customFormat="false" ht="16.5" hidden="false" customHeight="true" outlineLevel="0" collapsed="false">
      <c r="A52" s="108"/>
      <c r="B52" s="108"/>
      <c r="C52" s="108"/>
      <c r="D52" s="109"/>
      <c r="E52" s="109"/>
      <c r="F52" s="109"/>
      <c r="G52" s="108"/>
      <c r="H52" s="73"/>
      <c r="I52" s="110"/>
      <c r="J52" s="110"/>
      <c r="K52" s="111" t="s">
        <v>79</v>
      </c>
      <c r="L52" s="111" t="s">
        <v>80</v>
      </c>
      <c r="M52" s="111" t="s">
        <v>79</v>
      </c>
      <c r="N52" s="111" t="s">
        <v>80</v>
      </c>
    </row>
    <row r="53" customFormat="false" ht="15.75" hidden="false" customHeight="false" outlineLevel="0" collapsed="false">
      <c r="A53" s="85"/>
      <c r="B53" s="85"/>
      <c r="C53" s="85"/>
      <c r="D53" s="112"/>
      <c r="E53" s="112"/>
      <c r="F53" s="112"/>
      <c r="G53" s="85"/>
      <c r="H53" s="73"/>
      <c r="I53" s="110"/>
      <c r="J53" s="110"/>
      <c r="K53" s="86" t="n">
        <f aca="false">COUNTIFS('Game History'!A:A,("&gt;="&amp;Instructions!B103),'Game History'!G:G,"MRDA",'Game History'!I:I,Instructions!A68)+COUNTIFS('Game History'!A:A,("&gt;="&amp;Instructions!B103),'Game History'!G:G,"MRDA",'Game History'!I:I,Instructions!A69)+COUNTIFS('Game History'!A:A,("&gt;="&amp;Instructions!B103),'Game History'!G:G,"MRDA",'Game History'!I:I,Instructions!A70)+COUNTIFS('Game History'!A:A,("&gt;="&amp;Instructions!B103),'Game History'!G:G,"MRDA",'Game History'!I:I,Instructions!A74)+COUNTIFS('Game History'!A:A,("&gt;="&amp;Instructions!B103),'Game History'!G:G,"MRDA",'Game History'!I:I,Instructions!A75)+COUNTIFS('Game History'!A:A,("&gt;="&amp;Instructions!B103),'Game History'!G:G,"MRDA",'Game History'!I:I,Instructions!A76)+COUNTIFS('Game History'!A:A,("&gt;="&amp;Instructions!B103),'Game History'!G:G,"MRDA",'Game History'!I:I,Instructions!A87)</f>
        <v>0</v>
      </c>
      <c r="L53" s="86" t="n">
        <f aca="false">COUNTIFS('Game History'!A:A,("&gt;="&amp;Instructions!B103),'Game History'!G:G,"MRDA",'Game History'!I:I,Instructions!A71)+COUNTIFS('Game History'!A:A,("&gt;="&amp;Instructions!B103),'Game History'!G:G,"MRDA",'Game History'!I:I,Instructions!A72)+COUNTIFS('Game History'!A:A,("&gt;="&amp;Instructions!B103),'Game History'!G:G,"MRDA",'Game History'!I:I,Instructions!A73)+COUNTIFS('Game History'!A:A,("&gt;="&amp;Instructions!B103),'Game History'!G:G,"MRDA",'Game History'!I:I,Instructions!A77)+COUNTIFS('Game History'!A:A,("&gt;="&amp;Instructions!B103),'Game History'!G:G,"MRDA",'Game History'!I:I,Instructions!A78)+COUNTIFS('Game History'!A:A,("&gt;="&amp;Instructions!B103),'Game History'!G:G,"MRDA",'Game History'!I:I,Instructions!A79)+COUNTIFS('Game History'!A:A,("&gt;="&amp;Instructions!B103),'Game History'!G:G,"MRDA",'Game History'!I:I,Instructions!A80)+COUNTIFS('Game History'!A:A,("&gt;="&amp;Instructions!B103),'Game History'!G:G,"MRDA",'Game History'!I:I,Instructions!A81)+COUNTIFS('Game History'!A:A,("&gt;="&amp;Instructions!B103),'Game History'!G:G,"MRDA",'Game History'!I:I,Instructions!A82)+COUNTIFS('Game History'!A:A,("&gt;="&amp;Instructions!B103),'Game History'!G:G,"MRDA",'Game History'!I:I,Instructions!A83)+COUNTIFS('Game History'!A:A,("&gt;="&amp;Instructions!B103),'Game History'!G:G,"MRDA",'Game History'!I:I,Instructions!A84)+COUNTIFS('Game History'!A:A,("&gt;="&amp;Instructions!B103),'Game History'!G:G,"MRDA",'Game History'!I:I,Instructions!A85)+COUNTIFS('Game History'!A:A,("&gt;="&amp;Instructions!B103),'Game History'!G:G,"MRDA",'Game History'!I:I,Instructions!A86)+COUNTIFS('Game History'!A:A,("&gt;="&amp;Instructions!B103),'Game History'!G:G,"MRDA",'Game History'!I:I,Instructions!A88)</f>
        <v>0</v>
      </c>
      <c r="M53" s="85" t="n">
        <f aca="false">SUM(D41+E41+F41+G41+D43+E43+F43+G43+D44+E44+F44+G44)</f>
        <v>0</v>
      </c>
      <c r="N53" s="85" t="n">
        <f aca="false">SUM(K48+L48+M48+N48+D46+E46+F46+G46+D47+E47+F47+G47)</f>
        <v>1</v>
      </c>
    </row>
    <row r="54" customFormat="false" ht="12.8" hidden="false" customHeight="false" outlineLevel="0" collapsed="false">
      <c r="A54" s="11"/>
      <c r="B54" s="11"/>
      <c r="C54" s="11"/>
      <c r="D54" s="11"/>
      <c r="E54" s="11"/>
      <c r="F54" s="11"/>
      <c r="G54" s="11"/>
      <c r="H54" s="11"/>
      <c r="I54" s="11"/>
      <c r="J54" s="11"/>
      <c r="K54" s="11"/>
      <c r="L54" s="11"/>
      <c r="M54" s="11"/>
      <c r="N54" s="11"/>
    </row>
  </sheetData>
  <mergeCells count="71">
    <mergeCell ref="A1:K1"/>
    <mergeCell ref="C3:H3"/>
    <mergeCell ref="J3:K3"/>
    <mergeCell ref="C4:H4"/>
    <mergeCell ref="J4:K4"/>
    <mergeCell ref="C5:K5"/>
    <mergeCell ref="C6:E6"/>
    <mergeCell ref="F6:G6"/>
    <mergeCell ref="H6:K6"/>
    <mergeCell ref="C7:D7"/>
    <mergeCell ref="E7:F7"/>
    <mergeCell ref="G7:K7"/>
    <mergeCell ref="C8:D8"/>
    <mergeCell ref="E8:F8"/>
    <mergeCell ref="G8:K8"/>
    <mergeCell ref="A10:N10"/>
    <mergeCell ref="A11:B12"/>
    <mergeCell ref="C11:C12"/>
    <mergeCell ref="D11:G11"/>
    <mergeCell ref="I11:I12"/>
    <mergeCell ref="J11:J12"/>
    <mergeCell ref="K11:N11"/>
    <mergeCell ref="A13:B13"/>
    <mergeCell ref="A14:B14"/>
    <mergeCell ref="A16:B16"/>
    <mergeCell ref="A17:B17"/>
    <mergeCell ref="A18:C18"/>
    <mergeCell ref="A20:B20"/>
    <mergeCell ref="A21:B21"/>
    <mergeCell ref="A22:B22"/>
    <mergeCell ref="A23:B23"/>
    <mergeCell ref="A24:B24"/>
    <mergeCell ref="I25:J25"/>
    <mergeCell ref="A26:G26"/>
    <mergeCell ref="I26:L26"/>
    <mergeCell ref="M26:N26"/>
    <mergeCell ref="E27:F27"/>
    <mergeCell ref="E28:F28"/>
    <mergeCell ref="I28:J30"/>
    <mergeCell ref="K28:L28"/>
    <mergeCell ref="M28:N28"/>
    <mergeCell ref="E29:F29"/>
    <mergeCell ref="E30:F30"/>
    <mergeCell ref="A33:N33"/>
    <mergeCell ref="A34:B35"/>
    <mergeCell ref="C34:C35"/>
    <mergeCell ref="D34:G34"/>
    <mergeCell ref="I34:I35"/>
    <mergeCell ref="J34:J35"/>
    <mergeCell ref="K34:N34"/>
    <mergeCell ref="A36:B36"/>
    <mergeCell ref="A37:B37"/>
    <mergeCell ref="A39:B39"/>
    <mergeCell ref="A40:B40"/>
    <mergeCell ref="A41:C41"/>
    <mergeCell ref="A43:B43"/>
    <mergeCell ref="A44:B44"/>
    <mergeCell ref="A45:B45"/>
    <mergeCell ref="A46:B46"/>
    <mergeCell ref="A47:B47"/>
    <mergeCell ref="I48:J48"/>
    <mergeCell ref="A49:G49"/>
    <mergeCell ref="I49:L49"/>
    <mergeCell ref="M49:N49"/>
    <mergeCell ref="E50:F50"/>
    <mergeCell ref="E51:F51"/>
    <mergeCell ref="I51:J53"/>
    <mergeCell ref="K51:L51"/>
    <mergeCell ref="M51:N51"/>
    <mergeCell ref="E52:F52"/>
    <mergeCell ref="E53:F5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ColWidth="11.53515625" defaultRowHeight="15.75" customHeight="true" zeroHeight="false" outlineLevelRow="0" outlineLevelCol="0"/>
  <cols>
    <col collapsed="false" customWidth="false" hidden="false" outlineLevel="0" max="1" min="1" style="117" width="11.51"/>
    <col collapsed="false" customWidth="true" hidden="false" outlineLevel="0" max="2" min="2" style="117" width="38.67"/>
    <col collapsed="false" customWidth="true" hidden="false" outlineLevel="0" max="3" min="3" style="117" width="59.82"/>
    <col collapsed="false" customWidth="true" hidden="false" outlineLevel="0" max="4" min="4" style="117" width="44.38"/>
    <col collapsed="false" customWidth="true" hidden="false" outlineLevel="0" max="5" min="5" style="117" width="45.22"/>
    <col collapsed="false" customWidth="true" hidden="false" outlineLevel="0" max="6" min="6" style="117" width="24.15"/>
    <col collapsed="false" customWidth="true" hidden="false" outlineLevel="0" max="7" min="7" style="117" width="8.39"/>
    <col collapsed="false" customWidth="true" hidden="false" outlineLevel="0" max="8" min="8" style="117" width="8.64"/>
    <col collapsed="false" customWidth="true" hidden="false" outlineLevel="0" max="9" min="9" style="1" width="7.88"/>
    <col collapsed="false" customWidth="true" hidden="false" outlineLevel="0" max="11" min="10" style="117" width="8.76"/>
    <col collapsed="false" customWidth="true" hidden="false" outlineLevel="0" max="12" min="12" style="117" width="26.66"/>
    <col collapsed="false" customWidth="true" hidden="false" outlineLevel="0" max="13" min="13" style="117" width="25.28"/>
    <col collapsed="false" customWidth="true" hidden="false" outlineLevel="0" max="14" min="14" style="117" width="31.04"/>
    <col collapsed="false" customWidth="true" hidden="false" outlineLevel="0" max="1024" min="15" style="117" width="12.64"/>
    <col collapsed="false" customWidth="false" hidden="false" outlineLevel="0" max="16384" min="1025" style="117" width="11.53"/>
  </cols>
  <sheetData>
    <row r="1" customFormat="false" ht="45" hidden="false" customHeight="true" outlineLevel="0" collapsed="false">
      <c r="A1" s="118"/>
      <c r="B1" s="118" t="s">
        <v>84</v>
      </c>
      <c r="C1" s="118"/>
      <c r="D1" s="118"/>
      <c r="E1" s="118"/>
      <c r="F1" s="118"/>
      <c r="G1" s="119"/>
      <c r="H1" s="119"/>
      <c r="J1" s="119"/>
      <c r="K1" s="119"/>
      <c r="L1" s="119"/>
      <c r="M1" s="119"/>
      <c r="N1" s="119"/>
    </row>
    <row r="2" customFormat="false" ht="15.75" hidden="false" customHeight="false" outlineLevel="0" collapsed="false">
      <c r="A2" s="120"/>
      <c r="B2" s="120" t="s">
        <v>85</v>
      </c>
      <c r="C2" s="120"/>
      <c r="D2" s="120" t="s">
        <v>86</v>
      </c>
      <c r="E2" s="120"/>
      <c r="F2" s="120"/>
      <c r="G2" s="121"/>
      <c r="H2" s="121"/>
      <c r="I2" s="1" t="s">
        <v>87</v>
      </c>
      <c r="J2" s="120"/>
      <c r="K2" s="120"/>
      <c r="L2" s="110" t="s">
        <v>88</v>
      </c>
      <c r="M2" s="110" t="s">
        <v>89</v>
      </c>
      <c r="N2" s="110" t="s">
        <v>90</v>
      </c>
    </row>
    <row r="3" customFormat="false" ht="27.75" hidden="false" customHeight="true" outlineLevel="0" collapsed="false">
      <c r="A3" s="122" t="s">
        <v>91</v>
      </c>
      <c r="B3" s="123" t="s">
        <v>92</v>
      </c>
      <c r="C3" s="123" t="s">
        <v>74</v>
      </c>
      <c r="D3" s="124" t="s">
        <v>93</v>
      </c>
      <c r="E3" s="124" t="s">
        <v>94</v>
      </c>
      <c r="F3" s="124" t="s">
        <v>95</v>
      </c>
      <c r="G3" s="123" t="s">
        <v>96</v>
      </c>
      <c r="H3" s="123" t="s">
        <v>97</v>
      </c>
      <c r="I3" s="1" t="s">
        <v>98</v>
      </c>
      <c r="J3" s="125" t="s">
        <v>99</v>
      </c>
      <c r="K3" s="125" t="s">
        <v>100</v>
      </c>
      <c r="L3" s="110"/>
      <c r="M3" s="110"/>
      <c r="N3" s="110"/>
      <c r="O3" s="117" t="n">
        <f aca="false">COUNT(O4:O2000)</f>
        <v>150</v>
      </c>
    </row>
    <row r="4" customFormat="false" ht="23.85" hidden="false" customHeight="false" outlineLevel="0" collapsed="false">
      <c r="A4" s="126" t="n">
        <v>44807</v>
      </c>
      <c r="B4" s="127" t="s">
        <v>101</v>
      </c>
      <c r="C4" s="38" t="s">
        <v>102</v>
      </c>
      <c r="D4" s="38" t="s">
        <v>103</v>
      </c>
      <c r="E4" s="38" t="s">
        <v>104</v>
      </c>
      <c r="F4" s="38" t="s">
        <v>105</v>
      </c>
      <c r="G4" s="86" t="s">
        <v>15</v>
      </c>
      <c r="H4" s="86" t="s">
        <v>22</v>
      </c>
      <c r="I4" s="1" t="s">
        <v>49</v>
      </c>
      <c r="J4" s="86"/>
      <c r="K4" s="86"/>
      <c r="L4" s="127" t="s">
        <v>106</v>
      </c>
      <c r="M4" s="127"/>
      <c r="N4" s="127"/>
      <c r="O4" s="117" t="n">
        <v>1</v>
      </c>
      <c r="P4" s="117" t="n">
        <f aca="false">COUNT(O4:O12)</f>
        <v>9</v>
      </c>
    </row>
    <row r="5" customFormat="false" ht="14.25" hidden="false" customHeight="true" outlineLevel="0" collapsed="false">
      <c r="A5" s="126" t="n">
        <v>44822</v>
      </c>
      <c r="B5" s="127" t="s">
        <v>107</v>
      </c>
      <c r="C5" s="38" t="s">
        <v>108</v>
      </c>
      <c r="D5" s="38" t="s">
        <v>109</v>
      </c>
      <c r="E5" s="38" t="s">
        <v>109</v>
      </c>
      <c r="F5" s="38" t="s">
        <v>110</v>
      </c>
      <c r="G5" s="86" t="s">
        <v>15</v>
      </c>
      <c r="H5" s="86" t="s">
        <v>22</v>
      </c>
      <c r="I5" s="1" t="s">
        <v>65</v>
      </c>
      <c r="J5" s="86"/>
      <c r="K5" s="86"/>
      <c r="L5" s="127" t="s">
        <v>106</v>
      </c>
      <c r="M5" s="127" t="s">
        <v>111</v>
      </c>
      <c r="N5" s="127" t="s">
        <v>112</v>
      </c>
      <c r="O5" s="117" t="n">
        <v>2</v>
      </c>
    </row>
    <row r="6" customFormat="false" ht="14.25" hidden="false" customHeight="true" outlineLevel="0" collapsed="false">
      <c r="A6" s="126" t="n">
        <v>44822</v>
      </c>
      <c r="B6" s="127" t="s">
        <v>107</v>
      </c>
      <c r="C6" s="38" t="s">
        <v>108</v>
      </c>
      <c r="D6" s="38" t="s">
        <v>109</v>
      </c>
      <c r="E6" s="38" t="s">
        <v>104</v>
      </c>
      <c r="F6" s="38" t="s">
        <v>109</v>
      </c>
      <c r="G6" s="86" t="s">
        <v>15</v>
      </c>
      <c r="H6" s="86" t="s">
        <v>22</v>
      </c>
      <c r="I6" s="1" t="s">
        <v>57</v>
      </c>
      <c r="J6" s="86"/>
      <c r="K6" s="86"/>
      <c r="L6" s="117" t="s">
        <v>113</v>
      </c>
      <c r="M6" s="127" t="s">
        <v>111</v>
      </c>
      <c r="N6" s="127"/>
      <c r="O6" s="117" t="n">
        <v>3</v>
      </c>
    </row>
    <row r="7" customFormat="false" ht="14.25" hidden="false" customHeight="true" outlineLevel="0" collapsed="false">
      <c r="A7" s="126" t="n">
        <v>44822</v>
      </c>
      <c r="B7" s="127" t="s">
        <v>107</v>
      </c>
      <c r="C7" s="38" t="s">
        <v>108</v>
      </c>
      <c r="D7" s="38" t="s">
        <v>109</v>
      </c>
      <c r="E7" s="38" t="s">
        <v>104</v>
      </c>
      <c r="F7" s="38" t="s">
        <v>109</v>
      </c>
      <c r="G7" s="86" t="s">
        <v>15</v>
      </c>
      <c r="H7" s="86" t="s">
        <v>22</v>
      </c>
      <c r="I7" s="1" t="s">
        <v>57</v>
      </c>
      <c r="J7" s="86"/>
      <c r="K7" s="86"/>
      <c r="L7" s="127" t="s">
        <v>106</v>
      </c>
      <c r="M7" s="127" t="s">
        <v>111</v>
      </c>
      <c r="N7" s="127"/>
      <c r="O7" s="117" t="n">
        <v>4</v>
      </c>
    </row>
    <row r="8" customFormat="false" ht="14.25" hidden="false" customHeight="true" outlineLevel="0" collapsed="false">
      <c r="A8" s="126" t="n">
        <v>44863</v>
      </c>
      <c r="B8" s="127" t="s">
        <v>101</v>
      </c>
      <c r="C8" s="117" t="s">
        <v>114</v>
      </c>
      <c r="D8" s="38" t="s">
        <v>103</v>
      </c>
      <c r="E8" s="117" t="s">
        <v>115</v>
      </c>
      <c r="F8" s="38" t="s">
        <v>110</v>
      </c>
      <c r="G8" s="86" t="s">
        <v>15</v>
      </c>
      <c r="H8" s="86" t="s">
        <v>22</v>
      </c>
      <c r="I8" s="1" t="s">
        <v>61</v>
      </c>
      <c r="J8" s="86"/>
      <c r="K8" s="86"/>
      <c r="L8" s="127" t="s">
        <v>116</v>
      </c>
      <c r="M8" s="127" t="s">
        <v>117</v>
      </c>
      <c r="N8" s="127"/>
      <c r="O8" s="117" t="n">
        <v>5</v>
      </c>
    </row>
    <row r="9" customFormat="false" ht="14.25" hidden="false" customHeight="true" outlineLevel="0" collapsed="false">
      <c r="A9" s="126" t="n">
        <v>44863</v>
      </c>
      <c r="B9" s="127" t="s">
        <v>101</v>
      </c>
      <c r="C9" s="117" t="s">
        <v>114</v>
      </c>
      <c r="D9" s="38" t="s">
        <v>103</v>
      </c>
      <c r="E9" s="38" t="s">
        <v>104</v>
      </c>
      <c r="F9" s="38" t="s">
        <v>118</v>
      </c>
      <c r="G9" s="86" t="s">
        <v>15</v>
      </c>
      <c r="H9" s="86" t="s">
        <v>22</v>
      </c>
      <c r="I9" s="1" t="s">
        <v>49</v>
      </c>
      <c r="J9" s="86"/>
      <c r="K9" s="86"/>
      <c r="L9" s="117" t="s">
        <v>119</v>
      </c>
      <c r="M9" s="127" t="s">
        <v>120</v>
      </c>
      <c r="N9" s="127"/>
      <c r="O9" s="117" t="n">
        <v>6</v>
      </c>
    </row>
    <row r="10" customFormat="false" ht="14.25" hidden="false" customHeight="true" outlineLevel="0" collapsed="false">
      <c r="A10" s="126" t="n">
        <v>44878</v>
      </c>
      <c r="B10" s="127" t="s">
        <v>121</v>
      </c>
      <c r="C10" s="38" t="s">
        <v>122</v>
      </c>
      <c r="D10" s="38" t="s">
        <v>123</v>
      </c>
      <c r="E10" s="38" t="s">
        <v>124</v>
      </c>
      <c r="F10" s="38" t="s">
        <v>124</v>
      </c>
      <c r="G10" s="86" t="s">
        <v>15</v>
      </c>
      <c r="H10" s="86" t="s">
        <v>23</v>
      </c>
      <c r="I10" s="1" t="s">
        <v>49</v>
      </c>
      <c r="J10" s="86"/>
      <c r="K10" s="86"/>
      <c r="L10" s="127" t="s">
        <v>125</v>
      </c>
      <c r="M10" s="127" t="s">
        <v>126</v>
      </c>
      <c r="N10" s="127"/>
      <c r="O10" s="117" t="n">
        <v>7</v>
      </c>
    </row>
    <row r="11" customFormat="false" ht="14.25" hidden="false" customHeight="true" outlineLevel="0" collapsed="false">
      <c r="A11" s="126" t="n">
        <v>44878</v>
      </c>
      <c r="B11" s="127" t="s">
        <v>121</v>
      </c>
      <c r="C11" s="38" t="s">
        <v>127</v>
      </c>
      <c r="D11" s="38" t="s">
        <v>123</v>
      </c>
      <c r="E11" s="38" t="s">
        <v>124</v>
      </c>
      <c r="F11" s="38" t="s">
        <v>124</v>
      </c>
      <c r="G11" s="86" t="s">
        <v>15</v>
      </c>
      <c r="H11" s="86" t="s">
        <v>23</v>
      </c>
      <c r="I11" s="1" t="s">
        <v>53</v>
      </c>
      <c r="J11" s="86"/>
      <c r="K11" s="86"/>
      <c r="L11" s="127" t="s">
        <v>128</v>
      </c>
      <c r="M11" s="127" t="s">
        <v>111</v>
      </c>
      <c r="N11" s="127"/>
      <c r="O11" s="117" t="n">
        <v>8</v>
      </c>
    </row>
    <row r="12" customFormat="false" ht="14.25" hidden="false" customHeight="true" outlineLevel="0" collapsed="false">
      <c r="A12" s="126" t="n">
        <v>44878</v>
      </c>
      <c r="B12" s="127" t="s">
        <v>121</v>
      </c>
      <c r="C12" s="38" t="s">
        <v>127</v>
      </c>
      <c r="D12" s="38" t="s">
        <v>123</v>
      </c>
      <c r="E12" s="38" t="s">
        <v>124</v>
      </c>
      <c r="F12" s="38" t="s">
        <v>124</v>
      </c>
      <c r="G12" s="86" t="s">
        <v>15</v>
      </c>
      <c r="H12" s="86" t="s">
        <v>23</v>
      </c>
      <c r="I12" s="1" t="s">
        <v>32</v>
      </c>
      <c r="J12" s="86"/>
      <c r="K12" s="86"/>
      <c r="L12" s="117" t="s">
        <v>113</v>
      </c>
      <c r="M12" s="127" t="s">
        <v>129</v>
      </c>
      <c r="N12" s="127" t="s">
        <v>112</v>
      </c>
      <c r="O12" s="117" t="n">
        <v>9</v>
      </c>
    </row>
    <row r="13" s="132" customFormat="true" ht="14.25" hidden="false" customHeight="true" outlineLevel="0" collapsed="false">
      <c r="A13" s="128" t="n">
        <v>44974</v>
      </c>
      <c r="B13" s="129" t="s">
        <v>130</v>
      </c>
      <c r="C13" s="129" t="s">
        <v>131</v>
      </c>
      <c r="D13" s="129" t="s">
        <v>123</v>
      </c>
      <c r="E13" s="129" t="s">
        <v>132</v>
      </c>
      <c r="F13" s="129" t="s">
        <v>129</v>
      </c>
      <c r="G13" s="130" t="s">
        <v>15</v>
      </c>
      <c r="H13" s="130" t="s">
        <v>23</v>
      </c>
      <c r="I13" s="131" t="s">
        <v>61</v>
      </c>
      <c r="J13" s="130"/>
      <c r="K13" s="130"/>
      <c r="L13" s="132" t="s">
        <v>113</v>
      </c>
      <c r="M13" s="132" t="s">
        <v>111</v>
      </c>
      <c r="N13" s="129"/>
      <c r="O13" s="132" t="n">
        <v>10</v>
      </c>
      <c r="P13" s="132" t="n">
        <f aca="false">COUNT(O13:O45)</f>
        <v>33</v>
      </c>
    </row>
    <row r="14" customFormat="false" ht="14.25" hidden="false" customHeight="true" outlineLevel="0" collapsed="false">
      <c r="A14" s="126" t="n">
        <v>44974</v>
      </c>
      <c r="B14" s="127" t="s">
        <v>130</v>
      </c>
      <c r="C14" s="38" t="s">
        <v>131</v>
      </c>
      <c r="D14" s="38" t="s">
        <v>123</v>
      </c>
      <c r="E14" s="38" t="s">
        <v>133</v>
      </c>
      <c r="F14" s="38" t="s">
        <v>134</v>
      </c>
      <c r="G14" s="86" t="s">
        <v>15</v>
      </c>
      <c r="H14" s="86" t="s">
        <v>23</v>
      </c>
      <c r="I14" s="1" t="s">
        <v>32</v>
      </c>
      <c r="J14" s="86"/>
      <c r="K14" s="86"/>
      <c r="L14" s="117" t="s">
        <v>125</v>
      </c>
      <c r="M14" s="117" t="s">
        <v>126</v>
      </c>
      <c r="N14" s="127" t="s">
        <v>112</v>
      </c>
      <c r="O14" s="117" t="n">
        <v>11</v>
      </c>
    </row>
    <row r="15" customFormat="false" ht="14.25" hidden="false" customHeight="true" outlineLevel="0" collapsed="false">
      <c r="A15" s="126" t="n">
        <v>45003</v>
      </c>
      <c r="B15" s="127" t="s">
        <v>135</v>
      </c>
      <c r="C15" s="38" t="s">
        <v>136</v>
      </c>
      <c r="D15" s="38" t="s">
        <v>137</v>
      </c>
      <c r="E15" s="38" t="s">
        <v>138</v>
      </c>
      <c r="F15" s="38" t="s">
        <v>139</v>
      </c>
      <c r="G15" s="86" t="s">
        <v>15</v>
      </c>
      <c r="H15" s="86" t="s">
        <v>22</v>
      </c>
      <c r="I15" s="1" t="s">
        <v>61</v>
      </c>
      <c r="J15" s="86"/>
      <c r="K15" s="86"/>
      <c r="L15" s="127" t="s">
        <v>106</v>
      </c>
      <c r="M15" s="127"/>
      <c r="N15" s="127"/>
      <c r="O15" s="117" t="n">
        <v>12</v>
      </c>
    </row>
    <row r="16" customFormat="false" ht="14.25" hidden="false" customHeight="true" outlineLevel="0" collapsed="false">
      <c r="A16" s="126" t="n">
        <v>45003</v>
      </c>
      <c r="B16" s="127" t="s">
        <v>135</v>
      </c>
      <c r="C16" s="38" t="s">
        <v>136</v>
      </c>
      <c r="D16" s="38" t="s">
        <v>137</v>
      </c>
      <c r="E16" s="38" t="s">
        <v>140</v>
      </c>
      <c r="F16" s="38" t="s">
        <v>141</v>
      </c>
      <c r="G16" s="86" t="s">
        <v>15</v>
      </c>
      <c r="H16" s="86" t="s">
        <v>22</v>
      </c>
      <c r="I16" s="1" t="s">
        <v>61</v>
      </c>
      <c r="J16" s="86"/>
      <c r="K16" s="86"/>
      <c r="L16" s="127" t="s">
        <v>106</v>
      </c>
      <c r="M16" s="127"/>
      <c r="N16" s="127"/>
      <c r="O16" s="117" t="n">
        <v>13</v>
      </c>
    </row>
    <row r="17" customFormat="false" ht="14.25" hidden="false" customHeight="true" outlineLevel="0" collapsed="false">
      <c r="A17" s="126" t="n">
        <v>45003</v>
      </c>
      <c r="B17" s="127" t="s">
        <v>135</v>
      </c>
      <c r="C17" s="38" t="s">
        <v>136</v>
      </c>
      <c r="D17" s="38" t="s">
        <v>137</v>
      </c>
      <c r="E17" s="38" t="s">
        <v>141</v>
      </c>
      <c r="F17" s="38" t="s">
        <v>139</v>
      </c>
      <c r="G17" s="86" t="s">
        <v>15</v>
      </c>
      <c r="H17" s="86" t="s">
        <v>22</v>
      </c>
      <c r="I17" s="1" t="s">
        <v>61</v>
      </c>
      <c r="J17" s="86"/>
      <c r="K17" s="86"/>
      <c r="L17" s="127" t="s">
        <v>106</v>
      </c>
      <c r="M17" s="127"/>
      <c r="N17" s="127"/>
      <c r="O17" s="117" t="n">
        <v>14</v>
      </c>
    </row>
    <row r="18" customFormat="false" ht="14.25" hidden="false" customHeight="true" outlineLevel="0" collapsed="false">
      <c r="A18" s="126" t="n">
        <v>45003</v>
      </c>
      <c r="B18" s="127" t="s">
        <v>135</v>
      </c>
      <c r="C18" s="38" t="s">
        <v>136</v>
      </c>
      <c r="D18" s="38" t="s">
        <v>137</v>
      </c>
      <c r="E18" s="38" t="s">
        <v>142</v>
      </c>
      <c r="F18" s="38" t="s">
        <v>143</v>
      </c>
      <c r="G18" s="86" t="s">
        <v>15</v>
      </c>
      <c r="H18" s="86" t="s">
        <v>22</v>
      </c>
      <c r="I18" s="1" t="s">
        <v>61</v>
      </c>
      <c r="J18" s="86"/>
      <c r="K18" s="86"/>
      <c r="L18" s="127" t="s">
        <v>106</v>
      </c>
      <c r="M18" s="127"/>
      <c r="N18" s="127"/>
      <c r="O18" s="117" t="n">
        <v>15</v>
      </c>
    </row>
    <row r="19" customFormat="false" ht="14.25" hidden="false" customHeight="true" outlineLevel="0" collapsed="false">
      <c r="A19" s="126" t="n">
        <v>45004</v>
      </c>
      <c r="B19" s="127" t="s">
        <v>135</v>
      </c>
      <c r="C19" s="38" t="s">
        <v>136</v>
      </c>
      <c r="D19" s="38" t="s">
        <v>137</v>
      </c>
      <c r="E19" s="38" t="s">
        <v>138</v>
      </c>
      <c r="F19" s="38" t="s">
        <v>144</v>
      </c>
      <c r="G19" s="86" t="s">
        <v>15</v>
      </c>
      <c r="H19" s="86" t="s">
        <v>22</v>
      </c>
      <c r="I19" s="1" t="s">
        <v>61</v>
      </c>
      <c r="J19" s="86"/>
      <c r="K19" s="86"/>
      <c r="L19" s="127" t="s">
        <v>106</v>
      </c>
      <c r="M19" s="127"/>
      <c r="N19" s="127"/>
      <c r="O19" s="117" t="n">
        <v>16</v>
      </c>
    </row>
    <row r="20" customFormat="false" ht="14.25" hidden="false" customHeight="true" outlineLevel="0" collapsed="false">
      <c r="A20" s="126" t="n">
        <v>45004</v>
      </c>
      <c r="B20" s="127" t="s">
        <v>135</v>
      </c>
      <c r="C20" s="38" t="s">
        <v>136</v>
      </c>
      <c r="D20" s="38" t="s">
        <v>137</v>
      </c>
      <c r="E20" s="38" t="s">
        <v>104</v>
      </c>
      <c r="F20" s="38" t="s">
        <v>145</v>
      </c>
      <c r="G20" s="86" t="s">
        <v>15</v>
      </c>
      <c r="H20" s="86" t="s">
        <v>22</v>
      </c>
      <c r="I20" s="1" t="s">
        <v>61</v>
      </c>
      <c r="J20" s="86"/>
      <c r="K20" s="86"/>
      <c r="L20" s="127" t="s">
        <v>106</v>
      </c>
      <c r="M20" s="127"/>
      <c r="N20" s="127"/>
      <c r="O20" s="117" t="n">
        <v>17</v>
      </c>
    </row>
    <row r="21" customFormat="false" ht="14.25" hidden="false" customHeight="true" outlineLevel="0" collapsed="false">
      <c r="A21" s="126" t="n">
        <v>45004</v>
      </c>
      <c r="B21" s="127" t="s">
        <v>135</v>
      </c>
      <c r="C21" s="38" t="s">
        <v>136</v>
      </c>
      <c r="D21" s="38" t="s">
        <v>137</v>
      </c>
      <c r="E21" s="38" t="s">
        <v>144</v>
      </c>
      <c r="F21" s="38" t="s">
        <v>141</v>
      </c>
      <c r="G21" s="86" t="s">
        <v>15</v>
      </c>
      <c r="H21" s="86" t="s">
        <v>22</v>
      </c>
      <c r="I21" s="1" t="s">
        <v>61</v>
      </c>
      <c r="J21" s="86"/>
      <c r="K21" s="86"/>
      <c r="L21" s="127" t="s">
        <v>106</v>
      </c>
      <c r="M21" s="127"/>
      <c r="N21" s="127"/>
      <c r="O21" s="117" t="n">
        <v>18</v>
      </c>
    </row>
    <row r="22" customFormat="false" ht="14.25" hidden="false" customHeight="true" outlineLevel="0" collapsed="false">
      <c r="A22" s="126" t="n">
        <v>45004</v>
      </c>
      <c r="B22" s="127" t="s">
        <v>135</v>
      </c>
      <c r="C22" s="38" t="s">
        <v>136</v>
      </c>
      <c r="D22" s="38" t="s">
        <v>137</v>
      </c>
      <c r="E22" s="38" t="s">
        <v>104</v>
      </c>
      <c r="F22" s="38" t="s">
        <v>142</v>
      </c>
      <c r="G22" s="86" t="s">
        <v>15</v>
      </c>
      <c r="H22" s="86" t="s">
        <v>22</v>
      </c>
      <c r="I22" s="1" t="s">
        <v>61</v>
      </c>
      <c r="J22" s="86"/>
      <c r="K22" s="86"/>
      <c r="L22" s="127" t="s">
        <v>106</v>
      </c>
      <c r="M22" s="127"/>
      <c r="N22" s="127"/>
      <c r="O22" s="117" t="n">
        <v>19</v>
      </c>
    </row>
    <row r="23" customFormat="false" ht="14.25" hidden="false" customHeight="true" outlineLevel="0" collapsed="false">
      <c r="A23" s="126" t="n">
        <v>45031</v>
      </c>
      <c r="B23" s="127" t="s">
        <v>101</v>
      </c>
      <c r="C23" s="38" t="s">
        <v>146</v>
      </c>
      <c r="D23" s="38" t="s">
        <v>109</v>
      </c>
      <c r="E23" s="38" t="s">
        <v>109</v>
      </c>
      <c r="F23" s="38" t="s">
        <v>145</v>
      </c>
      <c r="G23" s="86" t="s">
        <v>15</v>
      </c>
      <c r="H23" s="86" t="s">
        <v>22</v>
      </c>
      <c r="I23" s="1" t="s">
        <v>53</v>
      </c>
      <c r="J23" s="86"/>
      <c r="K23" s="86"/>
      <c r="L23" s="127" t="s">
        <v>119</v>
      </c>
      <c r="M23" s="127" t="s">
        <v>111</v>
      </c>
      <c r="N23" s="127"/>
      <c r="O23" s="117" t="n">
        <v>20</v>
      </c>
    </row>
    <row r="24" customFormat="false" ht="14.25" hidden="false" customHeight="true" outlineLevel="0" collapsed="false">
      <c r="A24" s="126" t="n">
        <v>45066</v>
      </c>
      <c r="B24" s="127" t="s">
        <v>101</v>
      </c>
      <c r="C24" s="38" t="s">
        <v>147</v>
      </c>
      <c r="D24" s="117" t="s">
        <v>148</v>
      </c>
      <c r="E24" s="38" t="s">
        <v>149</v>
      </c>
      <c r="F24" s="38" t="s">
        <v>150</v>
      </c>
      <c r="G24" s="86" t="s">
        <v>15</v>
      </c>
      <c r="H24" s="86" t="s">
        <v>22</v>
      </c>
      <c r="I24" s="1" t="s">
        <v>53</v>
      </c>
      <c r="J24" s="86"/>
      <c r="K24" s="86"/>
      <c r="L24" s="127" t="s">
        <v>116</v>
      </c>
      <c r="M24" s="127" t="s">
        <v>151</v>
      </c>
      <c r="N24" s="127"/>
      <c r="O24" s="117" t="n">
        <v>21</v>
      </c>
    </row>
    <row r="25" customFormat="false" ht="14.25" hidden="false" customHeight="true" outlineLevel="0" collapsed="false">
      <c r="A25" s="126" t="n">
        <v>45066</v>
      </c>
      <c r="B25" s="127" t="s">
        <v>101</v>
      </c>
      <c r="C25" s="38" t="s">
        <v>147</v>
      </c>
      <c r="D25" s="117" t="s">
        <v>148</v>
      </c>
      <c r="E25" s="117" t="s">
        <v>148</v>
      </c>
      <c r="F25" s="38" t="s">
        <v>109</v>
      </c>
      <c r="G25" s="86" t="s">
        <v>15</v>
      </c>
      <c r="H25" s="86" t="s">
        <v>22</v>
      </c>
      <c r="I25" s="1" t="s">
        <v>32</v>
      </c>
      <c r="J25" s="86"/>
      <c r="K25" s="86"/>
      <c r="L25" s="117" t="s">
        <v>119</v>
      </c>
      <c r="M25" s="127" t="s">
        <v>152</v>
      </c>
      <c r="N25" s="127" t="s">
        <v>112</v>
      </c>
      <c r="O25" s="117" t="n">
        <v>22</v>
      </c>
    </row>
    <row r="26" customFormat="false" ht="14.25" hidden="false" customHeight="true" outlineLevel="0" collapsed="false">
      <c r="A26" s="126" t="n">
        <v>45081</v>
      </c>
      <c r="B26" s="127" t="s">
        <v>101</v>
      </c>
      <c r="C26" s="38" t="s">
        <v>146</v>
      </c>
      <c r="D26" s="38" t="s">
        <v>153</v>
      </c>
      <c r="E26" s="38" t="s">
        <v>154</v>
      </c>
      <c r="F26" s="38" t="s">
        <v>104</v>
      </c>
      <c r="G26" s="86" t="s">
        <v>15</v>
      </c>
      <c r="H26" s="86" t="s">
        <v>22</v>
      </c>
      <c r="I26" s="1" t="s">
        <v>47</v>
      </c>
      <c r="J26" s="86"/>
      <c r="K26" s="86"/>
      <c r="L26" s="117" t="s">
        <v>119</v>
      </c>
      <c r="M26" s="127" t="s">
        <v>120</v>
      </c>
      <c r="N26" s="127"/>
      <c r="O26" s="117" t="n">
        <v>23</v>
      </c>
    </row>
    <row r="27" customFormat="false" ht="14.25" hidden="false" customHeight="true" outlineLevel="0" collapsed="false">
      <c r="A27" s="133" t="s">
        <v>155</v>
      </c>
      <c r="B27" s="134" t="s">
        <v>156</v>
      </c>
      <c r="C27" s="134" t="s">
        <v>157</v>
      </c>
      <c r="D27" s="134" t="s">
        <v>158</v>
      </c>
      <c r="E27" s="134" t="s">
        <v>159</v>
      </c>
      <c r="F27" s="134" t="s">
        <v>160</v>
      </c>
      <c r="G27" s="134" t="s">
        <v>15</v>
      </c>
      <c r="H27" s="134" t="s">
        <v>23</v>
      </c>
      <c r="I27" s="1" t="s">
        <v>38</v>
      </c>
      <c r="J27" s="135"/>
      <c r="K27" s="135"/>
      <c r="L27" s="134" t="s">
        <v>116</v>
      </c>
      <c r="M27" s="134" t="s">
        <v>161</v>
      </c>
      <c r="N27" s="134" t="s">
        <v>162</v>
      </c>
      <c r="O27" s="117" t="n">
        <v>24</v>
      </c>
    </row>
    <row r="28" customFormat="false" ht="14.25" hidden="false" customHeight="true" outlineLevel="0" collapsed="false">
      <c r="A28" s="133" t="s">
        <v>155</v>
      </c>
      <c r="B28" s="134" t="s">
        <v>156</v>
      </c>
      <c r="C28" s="134" t="s">
        <v>157</v>
      </c>
      <c r="D28" s="134" t="s">
        <v>158</v>
      </c>
      <c r="E28" s="134" t="s">
        <v>163</v>
      </c>
      <c r="F28" s="134" t="s">
        <v>164</v>
      </c>
      <c r="G28" s="134" t="s">
        <v>15</v>
      </c>
      <c r="H28" s="134" t="s">
        <v>22</v>
      </c>
      <c r="I28" s="1" t="s">
        <v>38</v>
      </c>
      <c r="J28" s="135"/>
      <c r="K28" s="135"/>
      <c r="L28" s="134" t="s">
        <v>116</v>
      </c>
      <c r="M28" s="134" t="s">
        <v>161</v>
      </c>
      <c r="N28" s="134" t="s">
        <v>162</v>
      </c>
      <c r="O28" s="117" t="n">
        <v>25</v>
      </c>
    </row>
    <row r="29" customFormat="false" ht="14.25" hidden="false" customHeight="true" outlineLevel="0" collapsed="false">
      <c r="A29" s="133" t="s">
        <v>155</v>
      </c>
      <c r="B29" s="134" t="s">
        <v>156</v>
      </c>
      <c r="C29" s="134" t="s">
        <v>157</v>
      </c>
      <c r="D29" s="134" t="s">
        <v>158</v>
      </c>
      <c r="E29" s="134" t="s">
        <v>165</v>
      </c>
      <c r="F29" s="134" t="s">
        <v>166</v>
      </c>
      <c r="G29" s="134" t="s">
        <v>15</v>
      </c>
      <c r="H29" s="134" t="s">
        <v>22</v>
      </c>
      <c r="I29" s="1" t="s">
        <v>30</v>
      </c>
      <c r="J29" s="135"/>
      <c r="K29" s="135"/>
      <c r="L29" s="134" t="s">
        <v>116</v>
      </c>
      <c r="M29" s="134" t="s">
        <v>161</v>
      </c>
      <c r="N29" s="127"/>
      <c r="O29" s="117" t="n">
        <v>26</v>
      </c>
    </row>
    <row r="30" customFormat="false" ht="14.25" hidden="false" customHeight="true" outlineLevel="0" collapsed="false">
      <c r="A30" s="133" t="s">
        <v>155</v>
      </c>
      <c r="B30" s="134" t="s">
        <v>156</v>
      </c>
      <c r="C30" s="134" t="s">
        <v>157</v>
      </c>
      <c r="D30" s="134" t="s">
        <v>158</v>
      </c>
      <c r="E30" s="134" t="s">
        <v>163</v>
      </c>
      <c r="F30" s="134" t="s">
        <v>167</v>
      </c>
      <c r="G30" s="134" t="s">
        <v>15</v>
      </c>
      <c r="H30" s="134" t="s">
        <v>22</v>
      </c>
      <c r="I30" s="1" t="s">
        <v>32</v>
      </c>
      <c r="J30" s="135"/>
      <c r="K30" s="135"/>
      <c r="L30" s="134" t="s">
        <v>119</v>
      </c>
      <c r="M30" s="134" t="s">
        <v>168</v>
      </c>
      <c r="N30" s="127" t="s">
        <v>112</v>
      </c>
      <c r="O30" s="117" t="n">
        <v>27</v>
      </c>
    </row>
    <row r="31" customFormat="false" ht="14.25" hidden="false" customHeight="true" outlineLevel="0" collapsed="false">
      <c r="A31" s="133" t="s">
        <v>155</v>
      </c>
      <c r="B31" s="134" t="s">
        <v>156</v>
      </c>
      <c r="C31" s="134" t="s">
        <v>157</v>
      </c>
      <c r="D31" s="134" t="s">
        <v>158</v>
      </c>
      <c r="E31" s="134" t="s">
        <v>169</v>
      </c>
      <c r="F31" s="134" t="s">
        <v>170</v>
      </c>
      <c r="G31" s="134" t="s">
        <v>15</v>
      </c>
      <c r="H31" s="134" t="s">
        <v>23</v>
      </c>
      <c r="I31" s="1" t="s">
        <v>30</v>
      </c>
      <c r="J31" s="135"/>
      <c r="K31" s="135"/>
      <c r="L31" s="134" t="s">
        <v>116</v>
      </c>
      <c r="M31" s="134" t="s">
        <v>171</v>
      </c>
      <c r="N31" s="127" t="s">
        <v>172</v>
      </c>
      <c r="O31" s="117" t="n">
        <v>28</v>
      </c>
    </row>
    <row r="32" customFormat="false" ht="14.25" hidden="false" customHeight="true" outlineLevel="0" collapsed="false">
      <c r="A32" s="133" t="s">
        <v>155</v>
      </c>
      <c r="B32" s="134" t="s">
        <v>156</v>
      </c>
      <c r="C32" s="134" t="s">
        <v>157</v>
      </c>
      <c r="D32" s="134" t="s">
        <v>158</v>
      </c>
      <c r="E32" s="134" t="s">
        <v>173</v>
      </c>
      <c r="F32" s="134" t="s">
        <v>174</v>
      </c>
      <c r="G32" s="134" t="s">
        <v>15</v>
      </c>
      <c r="H32" s="134" t="s">
        <v>22</v>
      </c>
      <c r="I32" s="1" t="s">
        <v>38</v>
      </c>
      <c r="J32" s="135"/>
      <c r="K32" s="135"/>
      <c r="L32" s="134" t="s">
        <v>119</v>
      </c>
      <c r="M32" s="134" t="s">
        <v>168</v>
      </c>
      <c r="N32" s="127"/>
      <c r="O32" s="117" t="n">
        <v>29</v>
      </c>
    </row>
    <row r="33" customFormat="false" ht="14.25" hidden="false" customHeight="true" outlineLevel="0" collapsed="false">
      <c r="A33" s="133" t="s">
        <v>175</v>
      </c>
      <c r="B33" s="134" t="s">
        <v>156</v>
      </c>
      <c r="C33" s="134" t="s">
        <v>157</v>
      </c>
      <c r="D33" s="134" t="s">
        <v>158</v>
      </c>
      <c r="E33" s="134" t="s">
        <v>165</v>
      </c>
      <c r="F33" s="134" t="s">
        <v>166</v>
      </c>
      <c r="G33" s="134" t="s">
        <v>15</v>
      </c>
      <c r="H33" s="134" t="s">
        <v>22</v>
      </c>
      <c r="I33" s="1" t="s">
        <v>38</v>
      </c>
      <c r="J33" s="135"/>
      <c r="K33" s="135"/>
      <c r="L33" s="134" t="s">
        <v>116</v>
      </c>
      <c r="M33" s="134" t="s">
        <v>161</v>
      </c>
      <c r="N33" s="127"/>
      <c r="O33" s="117" t="n">
        <v>30</v>
      </c>
    </row>
    <row r="34" customFormat="false" ht="14.25" hidden="false" customHeight="true" outlineLevel="0" collapsed="false">
      <c r="A34" s="133" t="s">
        <v>175</v>
      </c>
      <c r="B34" s="134" t="s">
        <v>156</v>
      </c>
      <c r="C34" s="134" t="s">
        <v>157</v>
      </c>
      <c r="D34" s="134" t="s">
        <v>158</v>
      </c>
      <c r="E34" s="134" t="s">
        <v>159</v>
      </c>
      <c r="F34" s="134" t="s">
        <v>176</v>
      </c>
      <c r="G34" s="134" t="s">
        <v>15</v>
      </c>
      <c r="H34" s="134" t="s">
        <v>23</v>
      </c>
      <c r="I34" s="1" t="s">
        <v>38</v>
      </c>
      <c r="J34" s="135"/>
      <c r="K34" s="135"/>
      <c r="L34" s="134" t="s">
        <v>116</v>
      </c>
      <c r="M34" s="134" t="s">
        <v>161</v>
      </c>
      <c r="N34" s="127"/>
      <c r="O34" s="117" t="n">
        <v>31</v>
      </c>
    </row>
    <row r="35" customFormat="false" ht="14.25" hidden="false" customHeight="true" outlineLevel="0" collapsed="false">
      <c r="A35" s="133" t="s">
        <v>175</v>
      </c>
      <c r="B35" s="134" t="s">
        <v>156</v>
      </c>
      <c r="C35" s="134" t="s">
        <v>157</v>
      </c>
      <c r="D35" s="134" t="s">
        <v>158</v>
      </c>
      <c r="E35" s="134" t="s">
        <v>177</v>
      </c>
      <c r="F35" s="134" t="s">
        <v>159</v>
      </c>
      <c r="G35" s="134" t="s">
        <v>15</v>
      </c>
      <c r="H35" s="134" t="s">
        <v>23</v>
      </c>
      <c r="I35" s="1" t="s">
        <v>38</v>
      </c>
      <c r="J35" s="135"/>
      <c r="K35" s="135"/>
      <c r="L35" s="134" t="s">
        <v>178</v>
      </c>
      <c r="M35" s="134" t="s">
        <v>179</v>
      </c>
      <c r="N35" s="127"/>
      <c r="O35" s="117" t="n">
        <v>32</v>
      </c>
    </row>
    <row r="36" customFormat="false" ht="14.25" hidden="false" customHeight="true" outlineLevel="0" collapsed="false">
      <c r="A36" s="133" t="s">
        <v>180</v>
      </c>
      <c r="B36" s="134" t="s">
        <v>181</v>
      </c>
      <c r="C36" s="134" t="s">
        <v>182</v>
      </c>
      <c r="D36" s="134" t="s">
        <v>123</v>
      </c>
      <c r="E36" s="134" t="s">
        <v>183</v>
      </c>
      <c r="F36" s="134" t="s">
        <v>184</v>
      </c>
      <c r="G36" s="134" t="s">
        <v>15</v>
      </c>
      <c r="H36" s="134" t="s">
        <v>23</v>
      </c>
      <c r="I36" s="1" t="s">
        <v>30</v>
      </c>
      <c r="J36" s="135"/>
      <c r="K36" s="135"/>
      <c r="L36" s="134" t="s">
        <v>178</v>
      </c>
      <c r="M36" s="134" t="s">
        <v>126</v>
      </c>
      <c r="N36" s="127"/>
      <c r="O36" s="117" t="n">
        <v>33</v>
      </c>
    </row>
    <row r="37" customFormat="false" ht="14.25" hidden="false" customHeight="true" outlineLevel="0" collapsed="false">
      <c r="A37" s="126" t="n">
        <v>45144</v>
      </c>
      <c r="B37" s="127" t="s">
        <v>101</v>
      </c>
      <c r="C37" s="38" t="s">
        <v>146</v>
      </c>
      <c r="D37" s="38" t="s">
        <v>109</v>
      </c>
      <c r="E37" s="38" t="s">
        <v>140</v>
      </c>
      <c r="F37" s="38" t="s">
        <v>103</v>
      </c>
      <c r="G37" s="86" t="s">
        <v>15</v>
      </c>
      <c r="H37" s="86" t="s">
        <v>22</v>
      </c>
      <c r="I37" s="1" t="s">
        <v>49</v>
      </c>
      <c r="J37" s="86"/>
      <c r="K37" s="86"/>
      <c r="L37" s="127" t="s">
        <v>185</v>
      </c>
      <c r="M37" s="127" t="s">
        <v>186</v>
      </c>
      <c r="N37" s="127"/>
      <c r="O37" s="117" t="n">
        <v>34</v>
      </c>
    </row>
    <row r="38" customFormat="false" ht="15.75" hidden="false" customHeight="true" outlineLevel="0" collapsed="false">
      <c r="A38" s="126" t="n">
        <v>45144</v>
      </c>
      <c r="B38" s="127" t="s">
        <v>101</v>
      </c>
      <c r="C38" s="38" t="s">
        <v>146</v>
      </c>
      <c r="D38" s="38" t="s">
        <v>109</v>
      </c>
      <c r="E38" s="117" t="s">
        <v>148</v>
      </c>
      <c r="F38" s="117" t="s">
        <v>187</v>
      </c>
      <c r="G38" s="117" t="s">
        <v>15</v>
      </c>
      <c r="H38" s="117" t="s">
        <v>22</v>
      </c>
      <c r="I38" s="1" t="s">
        <v>47</v>
      </c>
      <c r="L38" s="117" t="s">
        <v>125</v>
      </c>
      <c r="M38" s="117" t="s">
        <v>152</v>
      </c>
      <c r="O38" s="117" t="n">
        <v>35</v>
      </c>
    </row>
    <row r="39" customFormat="false" ht="15.75" hidden="false" customHeight="true" outlineLevel="0" collapsed="false">
      <c r="A39" s="126" t="n">
        <v>45158</v>
      </c>
      <c r="B39" s="127" t="s">
        <v>188</v>
      </c>
      <c r="C39" s="38" t="s">
        <v>182</v>
      </c>
      <c r="D39" s="38" t="s">
        <v>123</v>
      </c>
      <c r="E39" s="117" t="s">
        <v>189</v>
      </c>
      <c r="F39" s="117" t="s">
        <v>184</v>
      </c>
      <c r="G39" s="117" t="s">
        <v>15</v>
      </c>
      <c r="H39" s="117" t="s">
        <v>23</v>
      </c>
      <c r="I39" s="1" t="s">
        <v>30</v>
      </c>
      <c r="O39" s="117" t="n">
        <v>36</v>
      </c>
    </row>
    <row r="40" customFormat="false" ht="15.75" hidden="false" customHeight="true" outlineLevel="0" collapsed="false">
      <c r="A40" s="136" t="n">
        <v>45178</v>
      </c>
      <c r="B40" s="117" t="s">
        <v>101</v>
      </c>
      <c r="C40" s="117" t="s">
        <v>190</v>
      </c>
      <c r="D40" s="117" t="s">
        <v>191</v>
      </c>
      <c r="E40" s="117" t="s">
        <v>192</v>
      </c>
      <c r="F40" s="117" t="s">
        <v>145</v>
      </c>
      <c r="G40" s="117" t="s">
        <v>15</v>
      </c>
      <c r="H40" s="117" t="s">
        <v>22</v>
      </c>
      <c r="I40" s="1" t="s">
        <v>53</v>
      </c>
      <c r="L40" s="117" t="s">
        <v>106</v>
      </c>
      <c r="M40" s="117" t="s">
        <v>120</v>
      </c>
      <c r="O40" s="117" t="n">
        <v>37</v>
      </c>
    </row>
    <row r="41" customFormat="false" ht="15.75" hidden="false" customHeight="true" outlineLevel="0" collapsed="false">
      <c r="A41" s="136" t="n">
        <v>45178</v>
      </c>
      <c r="B41" s="117" t="s">
        <v>101</v>
      </c>
      <c r="C41" s="117" t="s">
        <v>190</v>
      </c>
      <c r="D41" s="117" t="s">
        <v>191</v>
      </c>
      <c r="E41" s="117" t="s">
        <v>154</v>
      </c>
      <c r="F41" s="117" t="s">
        <v>109</v>
      </c>
      <c r="G41" s="117" t="s">
        <v>15</v>
      </c>
      <c r="H41" s="117" t="s">
        <v>22</v>
      </c>
      <c r="I41" s="1" t="s">
        <v>53</v>
      </c>
      <c r="L41" s="117" t="s">
        <v>116</v>
      </c>
      <c r="M41" s="117" t="s">
        <v>152</v>
      </c>
      <c r="O41" s="117" t="n">
        <v>38</v>
      </c>
    </row>
    <row r="42" customFormat="false" ht="15.75" hidden="false" customHeight="true" outlineLevel="0" collapsed="false">
      <c r="A42" s="136" t="n">
        <v>45220</v>
      </c>
      <c r="B42" s="117" t="s">
        <v>101</v>
      </c>
      <c r="C42" s="117" t="s">
        <v>114</v>
      </c>
      <c r="D42" s="117" t="s">
        <v>103</v>
      </c>
      <c r="E42" s="117" t="s">
        <v>104</v>
      </c>
      <c r="F42" s="117" t="s">
        <v>109</v>
      </c>
      <c r="G42" s="117" t="s">
        <v>15</v>
      </c>
      <c r="H42" s="117" t="s">
        <v>22</v>
      </c>
      <c r="I42" s="1" t="s">
        <v>53</v>
      </c>
      <c r="L42" s="117" t="s">
        <v>185</v>
      </c>
      <c r="M42" s="117" t="s">
        <v>120</v>
      </c>
      <c r="O42" s="117" t="n">
        <v>39</v>
      </c>
    </row>
    <row r="43" customFormat="false" ht="15.75" hidden="false" customHeight="true" outlineLevel="0" collapsed="false">
      <c r="A43" s="136" t="n">
        <v>45360</v>
      </c>
      <c r="B43" s="117" t="s">
        <v>193</v>
      </c>
      <c r="C43" s="117" t="s">
        <v>108</v>
      </c>
      <c r="D43" s="117" t="s">
        <v>109</v>
      </c>
      <c r="E43" s="117" t="s">
        <v>194</v>
      </c>
      <c r="F43" s="117" t="s">
        <v>195</v>
      </c>
      <c r="G43" s="117" t="s">
        <v>15</v>
      </c>
      <c r="H43" s="117" t="s">
        <v>23</v>
      </c>
      <c r="I43" s="1" t="s">
        <v>42</v>
      </c>
      <c r="L43" s="117" t="s">
        <v>125</v>
      </c>
      <c r="M43" s="117" t="s">
        <v>186</v>
      </c>
      <c r="O43" s="117" t="n">
        <v>40</v>
      </c>
    </row>
    <row r="44" customFormat="false" ht="15.75" hidden="false" customHeight="true" outlineLevel="0" collapsed="false">
      <c r="A44" s="136" t="n">
        <v>45360</v>
      </c>
      <c r="B44" s="117" t="s">
        <v>193</v>
      </c>
      <c r="C44" s="117" t="s">
        <v>108</v>
      </c>
      <c r="D44" s="117" t="s">
        <v>109</v>
      </c>
      <c r="E44" s="117" t="s">
        <v>196</v>
      </c>
      <c r="F44" s="117" t="s">
        <v>197</v>
      </c>
      <c r="G44" s="117" t="s">
        <v>15</v>
      </c>
      <c r="H44" s="117" t="s">
        <v>23</v>
      </c>
      <c r="I44" s="1" t="s">
        <v>30</v>
      </c>
      <c r="L44" s="117" t="s">
        <v>125</v>
      </c>
      <c r="M44" s="117" t="s">
        <v>186</v>
      </c>
      <c r="O44" s="117" t="n">
        <v>41</v>
      </c>
    </row>
    <row r="45" customFormat="false" ht="15.75" hidden="false" customHeight="true" outlineLevel="0" collapsed="false">
      <c r="A45" s="136" t="n">
        <v>45552</v>
      </c>
      <c r="B45" s="117" t="s">
        <v>198</v>
      </c>
      <c r="C45" s="117" t="s">
        <v>182</v>
      </c>
      <c r="D45" s="117" t="s">
        <v>123</v>
      </c>
      <c r="E45" s="117" t="s">
        <v>189</v>
      </c>
      <c r="F45" s="117" t="s">
        <v>183</v>
      </c>
      <c r="G45" s="117" t="s">
        <v>15</v>
      </c>
      <c r="H45" s="117" t="s">
        <v>23</v>
      </c>
      <c r="I45" s="1" t="s">
        <v>38</v>
      </c>
      <c r="O45" s="117" t="n">
        <v>42</v>
      </c>
    </row>
    <row r="46" s="132" customFormat="true" ht="15.75" hidden="false" customHeight="true" outlineLevel="0" collapsed="false">
      <c r="A46" s="137" t="s">
        <v>199</v>
      </c>
      <c r="B46" s="137" t="s">
        <v>200</v>
      </c>
      <c r="C46" s="137" t="s">
        <v>182</v>
      </c>
      <c r="D46" s="137" t="s">
        <v>123</v>
      </c>
      <c r="E46" s="137" t="s">
        <v>201</v>
      </c>
      <c r="F46" s="137" t="s">
        <v>202</v>
      </c>
      <c r="G46" s="137" t="s">
        <v>15</v>
      </c>
      <c r="H46" s="137" t="s">
        <v>21</v>
      </c>
      <c r="I46" s="131" t="s">
        <v>30</v>
      </c>
      <c r="L46" s="137" t="s">
        <v>203</v>
      </c>
      <c r="M46" s="137" t="s">
        <v>204</v>
      </c>
      <c r="N46" s="137" t="s">
        <v>205</v>
      </c>
      <c r="O46" s="132" t="n">
        <v>43</v>
      </c>
      <c r="P46" s="132" t="n">
        <f aca="false">COUNT(O46:O88)</f>
        <v>43</v>
      </c>
    </row>
    <row r="47" customFormat="false" ht="15.75" hidden="false" customHeight="true" outlineLevel="0" collapsed="false">
      <c r="A47" s="133" t="s">
        <v>199</v>
      </c>
      <c r="B47" s="133" t="s">
        <v>200</v>
      </c>
      <c r="C47" s="133" t="s">
        <v>182</v>
      </c>
      <c r="D47" s="133" t="s">
        <v>123</v>
      </c>
      <c r="E47" s="133" t="s">
        <v>206</v>
      </c>
      <c r="F47" s="133" t="s">
        <v>207</v>
      </c>
      <c r="G47" s="133" t="s">
        <v>15</v>
      </c>
      <c r="H47" s="133" t="s">
        <v>21</v>
      </c>
      <c r="I47" s="1" t="s">
        <v>38</v>
      </c>
      <c r="J47" s="135"/>
      <c r="K47" s="135"/>
      <c r="L47" s="133" t="s">
        <v>119</v>
      </c>
      <c r="M47" s="133" t="s">
        <v>126</v>
      </c>
      <c r="N47" s="133" t="s">
        <v>205</v>
      </c>
      <c r="O47" s="117" t="n">
        <v>44</v>
      </c>
    </row>
    <row r="48" customFormat="false" ht="15.75" hidden="false" customHeight="true" outlineLevel="0" collapsed="false">
      <c r="A48" s="133" t="s">
        <v>199</v>
      </c>
      <c r="B48" s="133" t="s">
        <v>200</v>
      </c>
      <c r="C48" s="133" t="s">
        <v>182</v>
      </c>
      <c r="D48" s="133" t="s">
        <v>123</v>
      </c>
      <c r="E48" s="133" t="s">
        <v>208</v>
      </c>
      <c r="F48" s="133" t="s">
        <v>201</v>
      </c>
      <c r="G48" s="133" t="s">
        <v>15</v>
      </c>
      <c r="H48" s="133" t="s">
        <v>21</v>
      </c>
      <c r="I48" s="1" t="s">
        <v>38</v>
      </c>
      <c r="J48" s="135"/>
      <c r="K48" s="135"/>
      <c r="L48" s="133" t="s">
        <v>209</v>
      </c>
      <c r="M48" s="133" t="s">
        <v>168</v>
      </c>
      <c r="N48" s="133" t="s">
        <v>205</v>
      </c>
      <c r="O48" s="117" t="n">
        <v>45</v>
      </c>
    </row>
    <row r="49" customFormat="false" ht="15.75" hidden="false" customHeight="true" outlineLevel="0" collapsed="false">
      <c r="A49" s="133" t="s">
        <v>210</v>
      </c>
      <c r="B49" s="133" t="s">
        <v>200</v>
      </c>
      <c r="C49" s="133" t="s">
        <v>182</v>
      </c>
      <c r="D49" s="133" t="s">
        <v>123</v>
      </c>
      <c r="E49" s="133" t="s">
        <v>201</v>
      </c>
      <c r="F49" s="133" t="s">
        <v>207</v>
      </c>
      <c r="G49" s="133" t="s">
        <v>15</v>
      </c>
      <c r="H49" s="133" t="s">
        <v>21</v>
      </c>
      <c r="I49" s="1" t="s">
        <v>49</v>
      </c>
      <c r="J49" s="135"/>
      <c r="K49" s="135"/>
      <c r="L49" s="133" t="s">
        <v>106</v>
      </c>
      <c r="M49" s="133" t="s">
        <v>204</v>
      </c>
      <c r="N49" s="133" t="s">
        <v>205</v>
      </c>
      <c r="O49" s="117" t="n">
        <v>46</v>
      </c>
    </row>
    <row r="50" customFormat="false" ht="15.75" hidden="false" customHeight="true" outlineLevel="0" collapsed="false">
      <c r="A50" s="133" t="s">
        <v>210</v>
      </c>
      <c r="B50" s="133" t="s">
        <v>200</v>
      </c>
      <c r="C50" s="133" t="s">
        <v>182</v>
      </c>
      <c r="D50" s="133" t="s">
        <v>123</v>
      </c>
      <c r="E50" s="133" t="s">
        <v>202</v>
      </c>
      <c r="F50" s="133" t="s">
        <v>206</v>
      </c>
      <c r="G50" s="133" t="s">
        <v>15</v>
      </c>
      <c r="H50" s="133" t="s">
        <v>21</v>
      </c>
      <c r="I50" s="1" t="s">
        <v>30</v>
      </c>
      <c r="J50" s="135"/>
      <c r="K50" s="135"/>
      <c r="L50" s="133" t="s">
        <v>211</v>
      </c>
      <c r="M50" s="133" t="s">
        <v>168</v>
      </c>
      <c r="N50" s="133" t="s">
        <v>205</v>
      </c>
      <c r="O50" s="117" t="n">
        <v>47</v>
      </c>
    </row>
    <row r="51" customFormat="false" ht="15.75" hidden="false" customHeight="true" outlineLevel="0" collapsed="false">
      <c r="A51" s="133" t="s">
        <v>210</v>
      </c>
      <c r="B51" s="133" t="s">
        <v>200</v>
      </c>
      <c r="C51" s="133" t="s">
        <v>182</v>
      </c>
      <c r="D51" s="133" t="s">
        <v>123</v>
      </c>
      <c r="E51" s="133" t="s">
        <v>212</v>
      </c>
      <c r="F51" s="133" t="s">
        <v>201</v>
      </c>
      <c r="G51" s="133" t="s">
        <v>15</v>
      </c>
      <c r="H51" s="133" t="s">
        <v>21</v>
      </c>
      <c r="I51" s="1" t="s">
        <v>38</v>
      </c>
      <c r="J51" s="135"/>
      <c r="K51" s="135"/>
      <c r="L51" s="133" t="s">
        <v>125</v>
      </c>
      <c r="M51" s="133" t="s">
        <v>126</v>
      </c>
      <c r="N51" s="133" t="s">
        <v>205</v>
      </c>
      <c r="O51" s="117" t="n">
        <v>48</v>
      </c>
    </row>
    <row r="52" customFormat="false" ht="15.75" hidden="false" customHeight="true" outlineLevel="0" collapsed="false">
      <c r="A52" s="133" t="s">
        <v>213</v>
      </c>
      <c r="B52" s="133" t="s">
        <v>200</v>
      </c>
      <c r="C52" s="133" t="s">
        <v>182</v>
      </c>
      <c r="D52" s="133" t="s">
        <v>123</v>
      </c>
      <c r="E52" s="133" t="s">
        <v>206</v>
      </c>
      <c r="F52" s="133" t="s">
        <v>201</v>
      </c>
      <c r="G52" s="133" t="s">
        <v>15</v>
      </c>
      <c r="H52" s="133" t="s">
        <v>21</v>
      </c>
      <c r="I52" s="1" t="s">
        <v>38</v>
      </c>
      <c r="J52" s="135"/>
      <c r="K52" s="135"/>
      <c r="L52" s="133" t="s">
        <v>119</v>
      </c>
      <c r="M52" s="133" t="s">
        <v>168</v>
      </c>
      <c r="N52" s="133" t="s">
        <v>205</v>
      </c>
      <c r="O52" s="117" t="n">
        <v>49</v>
      </c>
    </row>
    <row r="53" customFormat="false" ht="15.75" hidden="false" customHeight="true" outlineLevel="0" collapsed="false">
      <c r="A53" s="136" t="n">
        <v>45402</v>
      </c>
      <c r="B53" s="117" t="s">
        <v>214</v>
      </c>
      <c r="C53" s="117" t="s">
        <v>215</v>
      </c>
      <c r="D53" s="117" t="s">
        <v>158</v>
      </c>
      <c r="E53" s="117" t="s">
        <v>216</v>
      </c>
      <c r="F53" s="117" t="s">
        <v>217</v>
      </c>
      <c r="G53" s="117" t="s">
        <v>15</v>
      </c>
      <c r="H53" s="117" t="s">
        <v>22</v>
      </c>
      <c r="I53" s="1" t="s">
        <v>30</v>
      </c>
      <c r="L53" s="117" t="s">
        <v>185</v>
      </c>
      <c r="M53" s="117" t="s">
        <v>117</v>
      </c>
      <c r="O53" s="117" t="n">
        <v>50</v>
      </c>
    </row>
    <row r="54" customFormat="false" ht="15.75" hidden="false" customHeight="true" outlineLevel="0" collapsed="false">
      <c r="A54" s="136" t="n">
        <v>45409</v>
      </c>
      <c r="B54" s="117" t="s">
        <v>218</v>
      </c>
      <c r="C54" s="117" t="s">
        <v>219</v>
      </c>
      <c r="D54" s="117" t="s">
        <v>110</v>
      </c>
      <c r="E54" s="117" t="s">
        <v>173</v>
      </c>
      <c r="F54" s="117" t="s">
        <v>220</v>
      </c>
      <c r="G54" s="117" t="s">
        <v>15</v>
      </c>
      <c r="H54" s="117" t="s">
        <v>22</v>
      </c>
      <c r="I54" s="1" t="s">
        <v>61</v>
      </c>
      <c r="L54" s="117" t="s">
        <v>221</v>
      </c>
      <c r="M54" s="117" t="s">
        <v>151</v>
      </c>
      <c r="O54" s="117" t="n">
        <v>51</v>
      </c>
    </row>
    <row r="55" customFormat="false" ht="15.75" hidden="false" customHeight="true" outlineLevel="0" collapsed="false">
      <c r="A55" s="136" t="n">
        <v>45409</v>
      </c>
      <c r="B55" s="117" t="s">
        <v>218</v>
      </c>
      <c r="C55" s="117" t="s">
        <v>219</v>
      </c>
      <c r="D55" s="117" t="s">
        <v>110</v>
      </c>
      <c r="E55" s="133" t="s">
        <v>222</v>
      </c>
      <c r="F55" s="133" t="s">
        <v>223</v>
      </c>
      <c r="G55" s="117" t="s">
        <v>15</v>
      </c>
      <c r="H55" s="117" t="s">
        <v>22</v>
      </c>
      <c r="I55" s="1" t="s">
        <v>49</v>
      </c>
      <c r="J55" s="135"/>
      <c r="K55" s="135"/>
      <c r="L55" s="133" t="s">
        <v>106</v>
      </c>
      <c r="M55" s="133" t="s">
        <v>186</v>
      </c>
      <c r="N55" s="133"/>
      <c r="O55" s="117" t="n">
        <v>52</v>
      </c>
    </row>
    <row r="56" customFormat="false" ht="15.75" hidden="false" customHeight="true" outlineLevel="0" collapsed="false">
      <c r="A56" s="136" t="n">
        <v>45438</v>
      </c>
      <c r="B56" s="117" t="s">
        <v>224</v>
      </c>
      <c r="C56" s="117" t="s">
        <v>157</v>
      </c>
      <c r="D56" s="117" t="s">
        <v>103</v>
      </c>
      <c r="E56" s="117" t="s">
        <v>222</v>
      </c>
      <c r="F56" s="117" t="s">
        <v>225</v>
      </c>
      <c r="G56" s="117" t="s">
        <v>15</v>
      </c>
      <c r="H56" s="117" t="s">
        <v>22</v>
      </c>
      <c r="I56" s="1" t="s">
        <v>38</v>
      </c>
      <c r="L56" s="117" t="s">
        <v>119</v>
      </c>
      <c r="M56" s="117" t="s">
        <v>168</v>
      </c>
      <c r="O56" s="117" t="n">
        <v>53</v>
      </c>
    </row>
    <row r="57" customFormat="false" ht="15.75" hidden="false" customHeight="true" outlineLevel="0" collapsed="false">
      <c r="A57" s="136" t="n">
        <v>45438</v>
      </c>
      <c r="B57" s="117" t="s">
        <v>224</v>
      </c>
      <c r="C57" s="117" t="s">
        <v>157</v>
      </c>
      <c r="D57" s="117" t="s">
        <v>103</v>
      </c>
      <c r="E57" s="117" t="s">
        <v>103</v>
      </c>
      <c r="F57" s="117" t="s">
        <v>223</v>
      </c>
      <c r="G57" s="117" t="s">
        <v>15</v>
      </c>
      <c r="H57" s="117" t="s">
        <v>22</v>
      </c>
      <c r="I57" s="1" t="s">
        <v>47</v>
      </c>
      <c r="L57" s="117" t="s">
        <v>221</v>
      </c>
      <c r="M57" s="117" t="s">
        <v>151</v>
      </c>
      <c r="O57" s="117" t="n">
        <v>54</v>
      </c>
    </row>
    <row r="58" customFormat="false" ht="15.75" hidden="false" customHeight="true" outlineLevel="0" collapsed="false">
      <c r="A58" s="133" t="s">
        <v>226</v>
      </c>
      <c r="B58" s="133" t="s">
        <v>227</v>
      </c>
      <c r="C58" s="133" t="s">
        <v>228</v>
      </c>
      <c r="D58" s="133" t="s">
        <v>229</v>
      </c>
      <c r="E58" s="133" t="s">
        <v>230</v>
      </c>
      <c r="F58" s="133" t="s">
        <v>231</v>
      </c>
      <c r="G58" s="133" t="s">
        <v>15</v>
      </c>
      <c r="H58" s="133" t="s">
        <v>22</v>
      </c>
      <c r="I58" s="1" t="s">
        <v>38</v>
      </c>
      <c r="J58" s="135"/>
      <c r="K58" s="135"/>
      <c r="L58" s="133" t="s">
        <v>119</v>
      </c>
      <c r="M58" s="133" t="s">
        <v>152</v>
      </c>
      <c r="N58" s="133" t="s">
        <v>232</v>
      </c>
      <c r="O58" s="117" t="n">
        <v>55</v>
      </c>
    </row>
    <row r="59" customFormat="false" ht="15.75" hidden="false" customHeight="true" outlineLevel="0" collapsed="false">
      <c r="A59" s="133" t="s">
        <v>226</v>
      </c>
      <c r="B59" s="133" t="s">
        <v>227</v>
      </c>
      <c r="C59" s="133" t="s">
        <v>228</v>
      </c>
      <c r="D59" s="133" t="s">
        <v>229</v>
      </c>
      <c r="E59" s="133" t="s">
        <v>233</v>
      </c>
      <c r="F59" s="133" t="s">
        <v>234</v>
      </c>
      <c r="G59" s="133" t="s">
        <v>15</v>
      </c>
      <c r="H59" s="133" t="s">
        <v>21</v>
      </c>
      <c r="I59" s="1" t="s">
        <v>53</v>
      </c>
      <c r="J59" s="135"/>
      <c r="K59" s="135"/>
      <c r="L59" s="133" t="s">
        <v>203</v>
      </c>
      <c r="M59" s="133" t="s">
        <v>235</v>
      </c>
      <c r="N59" s="133" t="s">
        <v>232</v>
      </c>
      <c r="O59" s="117" t="n">
        <v>56</v>
      </c>
    </row>
    <row r="60" customFormat="false" ht="15.75" hidden="false" customHeight="true" outlineLevel="0" collapsed="false">
      <c r="A60" s="133" t="s">
        <v>226</v>
      </c>
      <c r="B60" s="133" t="s">
        <v>227</v>
      </c>
      <c r="C60" s="133" t="s">
        <v>228</v>
      </c>
      <c r="D60" s="133" t="s">
        <v>229</v>
      </c>
      <c r="E60" s="133" t="s">
        <v>236</v>
      </c>
      <c r="F60" s="133" t="s">
        <v>237</v>
      </c>
      <c r="G60" s="133" t="s">
        <v>15</v>
      </c>
      <c r="H60" s="133" t="s">
        <v>22</v>
      </c>
      <c r="I60" s="1" t="s">
        <v>38</v>
      </c>
      <c r="J60" s="135"/>
      <c r="K60" s="135"/>
      <c r="L60" s="133" t="s">
        <v>119</v>
      </c>
      <c r="M60" s="133" t="s">
        <v>152</v>
      </c>
      <c r="N60" s="133" t="s">
        <v>232</v>
      </c>
      <c r="O60" s="117" t="n">
        <v>57</v>
      </c>
    </row>
    <row r="61" customFormat="false" ht="15.75" hidden="false" customHeight="true" outlineLevel="0" collapsed="false">
      <c r="A61" s="133" t="s">
        <v>226</v>
      </c>
      <c r="B61" s="133" t="s">
        <v>227</v>
      </c>
      <c r="C61" s="133" t="s">
        <v>228</v>
      </c>
      <c r="D61" s="133" t="s">
        <v>229</v>
      </c>
      <c r="E61" s="133" t="s">
        <v>238</v>
      </c>
      <c r="F61" s="133" t="s">
        <v>239</v>
      </c>
      <c r="G61" s="133" t="s">
        <v>15</v>
      </c>
      <c r="H61" s="133" t="s">
        <v>20</v>
      </c>
      <c r="I61" s="1" t="s">
        <v>53</v>
      </c>
      <c r="J61" s="135"/>
      <c r="K61" s="135"/>
      <c r="L61" s="133" t="s">
        <v>203</v>
      </c>
      <c r="M61" s="133" t="s">
        <v>235</v>
      </c>
      <c r="N61" s="133" t="s">
        <v>232</v>
      </c>
      <c r="O61" s="117" t="n">
        <v>58</v>
      </c>
      <c r="P61" s="135"/>
      <c r="Q61" s="135"/>
      <c r="R61" s="135"/>
      <c r="S61" s="135"/>
      <c r="T61" s="135"/>
      <c r="U61" s="135"/>
      <c r="V61" s="135"/>
      <c r="W61" s="135"/>
      <c r="X61" s="135"/>
      <c r="Y61" s="135"/>
      <c r="Z61" s="135"/>
    </row>
    <row r="62" customFormat="false" ht="15.75" hidden="false" customHeight="true" outlineLevel="0" collapsed="false">
      <c r="A62" s="133" t="s">
        <v>240</v>
      </c>
      <c r="B62" s="133" t="s">
        <v>227</v>
      </c>
      <c r="C62" s="133" t="s">
        <v>228</v>
      </c>
      <c r="D62" s="133" t="s">
        <v>229</v>
      </c>
      <c r="E62" s="133" t="s">
        <v>241</v>
      </c>
      <c r="F62" s="133" t="s">
        <v>242</v>
      </c>
      <c r="G62" s="133" t="s">
        <v>15</v>
      </c>
      <c r="H62" s="133" t="s">
        <v>20</v>
      </c>
      <c r="I62" s="1" t="s">
        <v>38</v>
      </c>
      <c r="J62" s="135"/>
      <c r="K62" s="135"/>
      <c r="L62" s="133" t="s">
        <v>119</v>
      </c>
      <c r="M62" s="133" t="s">
        <v>152</v>
      </c>
      <c r="N62" s="133" t="s">
        <v>232</v>
      </c>
      <c r="O62" s="117" t="n">
        <v>59</v>
      </c>
      <c r="P62" s="135"/>
      <c r="Q62" s="135"/>
      <c r="R62" s="135"/>
      <c r="S62" s="135"/>
      <c r="T62" s="135"/>
      <c r="U62" s="135"/>
      <c r="V62" s="135"/>
      <c r="W62" s="135"/>
      <c r="X62" s="135"/>
      <c r="Y62" s="135"/>
      <c r="Z62" s="135"/>
    </row>
    <row r="63" customFormat="false" ht="15.75" hidden="false" customHeight="true" outlineLevel="0" collapsed="false">
      <c r="A63" s="133" t="s">
        <v>240</v>
      </c>
      <c r="B63" s="133" t="s">
        <v>227</v>
      </c>
      <c r="C63" s="133" t="s">
        <v>228</v>
      </c>
      <c r="D63" s="133" t="s">
        <v>229</v>
      </c>
      <c r="E63" s="133" t="s">
        <v>243</v>
      </c>
      <c r="F63" s="133" t="s">
        <v>244</v>
      </c>
      <c r="G63" s="133" t="s">
        <v>15</v>
      </c>
      <c r="H63" s="133" t="s">
        <v>20</v>
      </c>
      <c r="I63" s="1" t="s">
        <v>53</v>
      </c>
      <c r="J63" s="135"/>
      <c r="K63" s="135"/>
      <c r="L63" s="133" t="s">
        <v>203</v>
      </c>
      <c r="M63" s="133" t="s">
        <v>235</v>
      </c>
      <c r="N63" s="133" t="s">
        <v>232</v>
      </c>
      <c r="O63" s="117" t="n">
        <v>60</v>
      </c>
      <c r="P63" s="135"/>
      <c r="Q63" s="135"/>
      <c r="R63" s="135"/>
      <c r="S63" s="135"/>
      <c r="T63" s="135"/>
      <c r="U63" s="135"/>
      <c r="V63" s="135"/>
      <c r="W63" s="135"/>
      <c r="X63" s="135"/>
      <c r="Y63" s="135"/>
      <c r="Z63" s="135"/>
    </row>
    <row r="64" customFormat="false" ht="15.75" hidden="false" customHeight="true" outlineLevel="0" collapsed="false">
      <c r="A64" s="133" t="s">
        <v>240</v>
      </c>
      <c r="B64" s="133" t="s">
        <v>227</v>
      </c>
      <c r="C64" s="133" t="s">
        <v>228</v>
      </c>
      <c r="D64" s="133" t="s">
        <v>229</v>
      </c>
      <c r="E64" s="133" t="s">
        <v>242</v>
      </c>
      <c r="F64" s="133" t="s">
        <v>245</v>
      </c>
      <c r="G64" s="133" t="s">
        <v>15</v>
      </c>
      <c r="H64" s="133" t="s">
        <v>20</v>
      </c>
      <c r="I64" s="1" t="s">
        <v>38</v>
      </c>
      <c r="J64" s="135"/>
      <c r="K64" s="135"/>
      <c r="L64" s="133" t="s">
        <v>119</v>
      </c>
      <c r="M64" s="133" t="s">
        <v>246</v>
      </c>
      <c r="N64" s="133" t="s">
        <v>232</v>
      </c>
      <c r="O64" s="117" t="n">
        <v>61</v>
      </c>
      <c r="P64" s="135"/>
      <c r="Q64" s="135"/>
      <c r="R64" s="135"/>
      <c r="S64" s="135"/>
      <c r="T64" s="135"/>
      <c r="U64" s="135"/>
      <c r="V64" s="135"/>
      <c r="W64" s="135"/>
      <c r="X64" s="135"/>
      <c r="Y64" s="135"/>
      <c r="Z64" s="135"/>
    </row>
    <row r="65" customFormat="false" ht="15.75" hidden="false" customHeight="true" outlineLevel="0" collapsed="false">
      <c r="A65" s="133" t="s">
        <v>247</v>
      </c>
      <c r="B65" s="133" t="s">
        <v>227</v>
      </c>
      <c r="C65" s="133" t="s">
        <v>228</v>
      </c>
      <c r="D65" s="133" t="s">
        <v>229</v>
      </c>
      <c r="E65" s="133" t="s">
        <v>248</v>
      </c>
      <c r="F65" s="133" t="s">
        <v>249</v>
      </c>
      <c r="G65" s="133" t="s">
        <v>15</v>
      </c>
      <c r="H65" s="133" t="s">
        <v>22</v>
      </c>
      <c r="I65" s="1" t="s">
        <v>30</v>
      </c>
      <c r="J65" s="135"/>
      <c r="K65" s="135"/>
      <c r="L65" s="133" t="s">
        <v>250</v>
      </c>
      <c r="M65" s="133" t="s">
        <v>246</v>
      </c>
      <c r="N65" s="133" t="s">
        <v>232</v>
      </c>
      <c r="O65" s="117" t="n">
        <v>62</v>
      </c>
      <c r="P65" s="135"/>
      <c r="Q65" s="135"/>
      <c r="R65" s="135"/>
      <c r="S65" s="135"/>
      <c r="T65" s="135"/>
      <c r="U65" s="135"/>
      <c r="V65" s="135"/>
      <c r="W65" s="135"/>
      <c r="X65" s="135"/>
      <c r="Y65" s="135"/>
      <c r="Z65" s="135"/>
    </row>
    <row r="66" customFormat="false" ht="15.75" hidden="false" customHeight="true" outlineLevel="0" collapsed="false">
      <c r="A66" s="133" t="s">
        <v>247</v>
      </c>
      <c r="B66" s="133" t="s">
        <v>227</v>
      </c>
      <c r="C66" s="133" t="s">
        <v>228</v>
      </c>
      <c r="D66" s="133" t="s">
        <v>229</v>
      </c>
      <c r="E66" s="133" t="s">
        <v>248</v>
      </c>
      <c r="F66" s="133" t="s">
        <v>251</v>
      </c>
      <c r="G66" s="133" t="s">
        <v>15</v>
      </c>
      <c r="H66" s="133" t="s">
        <v>22</v>
      </c>
      <c r="I66" s="1" t="s">
        <v>30</v>
      </c>
      <c r="J66" s="135"/>
      <c r="K66" s="135"/>
      <c r="L66" s="133" t="s">
        <v>250</v>
      </c>
      <c r="M66" s="133" t="s">
        <v>246</v>
      </c>
      <c r="N66" s="133" t="s">
        <v>232</v>
      </c>
      <c r="O66" s="117" t="n">
        <v>63</v>
      </c>
      <c r="P66" s="135"/>
      <c r="Q66" s="135"/>
      <c r="R66" s="135"/>
      <c r="S66" s="135"/>
      <c r="T66" s="135"/>
      <c r="U66" s="135"/>
      <c r="V66" s="135"/>
      <c r="W66" s="135"/>
      <c r="X66" s="135"/>
      <c r="Y66" s="135"/>
      <c r="Z66" s="135"/>
    </row>
    <row r="67" customFormat="false" ht="15.75" hidden="false" customHeight="true" outlineLevel="0" collapsed="false">
      <c r="A67" s="117" t="s">
        <v>252</v>
      </c>
      <c r="B67" s="117" t="s">
        <v>253</v>
      </c>
      <c r="C67" s="117" t="s">
        <v>215</v>
      </c>
      <c r="D67" s="138" t="s">
        <v>158</v>
      </c>
      <c r="E67" s="117" t="s">
        <v>212</v>
      </c>
      <c r="F67" s="117" t="s">
        <v>254</v>
      </c>
      <c r="G67" s="117" t="s">
        <v>15</v>
      </c>
      <c r="H67" s="117" t="s">
        <v>22</v>
      </c>
      <c r="I67" s="1" t="s">
        <v>47</v>
      </c>
      <c r="L67" s="117" t="s">
        <v>106</v>
      </c>
      <c r="M67" s="117" t="s">
        <v>111</v>
      </c>
      <c r="O67" s="117" t="n">
        <v>64</v>
      </c>
      <c r="P67" s="135"/>
      <c r="Q67" s="135"/>
      <c r="R67" s="135"/>
      <c r="S67" s="135"/>
      <c r="T67" s="135"/>
      <c r="U67" s="135"/>
      <c r="V67" s="135"/>
      <c r="W67" s="135"/>
      <c r="X67" s="135"/>
      <c r="Y67" s="135"/>
      <c r="Z67" s="135"/>
    </row>
    <row r="68" customFormat="false" ht="15.75" hidden="false" customHeight="true" outlineLevel="0" collapsed="false">
      <c r="A68" s="117" t="s">
        <v>252</v>
      </c>
      <c r="B68" s="117" t="s">
        <v>253</v>
      </c>
      <c r="C68" s="117" t="s">
        <v>215</v>
      </c>
      <c r="D68" s="117" t="s">
        <v>158</v>
      </c>
      <c r="E68" s="117" t="s">
        <v>109</v>
      </c>
      <c r="F68" s="117" t="s">
        <v>225</v>
      </c>
      <c r="G68" s="117" t="s">
        <v>15</v>
      </c>
      <c r="H68" s="117" t="s">
        <v>22</v>
      </c>
      <c r="I68" s="1" t="s">
        <v>53</v>
      </c>
      <c r="L68" s="117" t="s">
        <v>255</v>
      </c>
      <c r="M68" s="117" t="s">
        <v>256</v>
      </c>
      <c r="O68" s="117" t="n">
        <v>65</v>
      </c>
      <c r="P68" s="135"/>
      <c r="Q68" s="135"/>
      <c r="R68" s="135"/>
      <c r="S68" s="135"/>
      <c r="T68" s="135"/>
      <c r="U68" s="135"/>
      <c r="V68" s="135"/>
      <c r="W68" s="135"/>
      <c r="X68" s="135"/>
      <c r="Y68" s="135"/>
      <c r="Z68" s="135"/>
    </row>
    <row r="69" customFormat="false" ht="15.75" hidden="false" customHeight="true" outlineLevel="0" collapsed="false">
      <c r="A69" s="136" t="n">
        <v>45514</v>
      </c>
      <c r="B69" s="117" t="s">
        <v>257</v>
      </c>
      <c r="C69" s="117" t="s">
        <v>258</v>
      </c>
      <c r="D69" s="117" t="s">
        <v>153</v>
      </c>
      <c r="E69" s="117" t="s">
        <v>103</v>
      </c>
      <c r="F69" s="117" t="s">
        <v>225</v>
      </c>
      <c r="G69" s="117" t="s">
        <v>15</v>
      </c>
      <c r="H69" s="117" t="s">
        <v>22</v>
      </c>
      <c r="I69" s="1" t="s">
        <v>38</v>
      </c>
      <c r="L69" s="117" t="s">
        <v>106</v>
      </c>
      <c r="M69" s="117" t="s">
        <v>152</v>
      </c>
      <c r="O69" s="117" t="n">
        <v>66</v>
      </c>
      <c r="P69" s="135"/>
      <c r="Q69" s="135"/>
      <c r="R69" s="135"/>
      <c r="S69" s="135"/>
      <c r="T69" s="135"/>
      <c r="U69" s="135"/>
      <c r="V69" s="135"/>
      <c r="W69" s="135"/>
      <c r="X69" s="135"/>
      <c r="Y69" s="135"/>
      <c r="Z69" s="135"/>
    </row>
    <row r="70" customFormat="false" ht="15.75" hidden="false" customHeight="true" outlineLevel="0" collapsed="false">
      <c r="A70" s="136" t="n">
        <v>45514</v>
      </c>
      <c r="B70" s="117" t="s">
        <v>257</v>
      </c>
      <c r="C70" s="117" t="s">
        <v>258</v>
      </c>
      <c r="D70" s="117" t="s">
        <v>153</v>
      </c>
      <c r="E70" s="117" t="s">
        <v>212</v>
      </c>
      <c r="F70" s="117" t="s">
        <v>220</v>
      </c>
      <c r="G70" s="117" t="s">
        <v>15</v>
      </c>
      <c r="H70" s="117" t="s">
        <v>22</v>
      </c>
      <c r="I70" s="1" t="s">
        <v>47</v>
      </c>
      <c r="L70" s="117" t="s">
        <v>209</v>
      </c>
      <c r="M70" s="117" t="s">
        <v>151</v>
      </c>
      <c r="O70" s="117" t="n">
        <v>67</v>
      </c>
      <c r="P70" s="135"/>
      <c r="Q70" s="135"/>
      <c r="R70" s="135"/>
      <c r="S70" s="135"/>
      <c r="T70" s="135"/>
      <c r="U70" s="135"/>
      <c r="V70" s="135"/>
      <c r="W70" s="135"/>
      <c r="X70" s="135"/>
      <c r="Y70" s="135"/>
      <c r="Z70" s="135"/>
    </row>
    <row r="71" customFormat="false" ht="15.75" hidden="false" customHeight="true" outlineLevel="0" collapsed="false">
      <c r="A71" s="136" t="n">
        <v>45542</v>
      </c>
      <c r="B71" s="117" t="s">
        <v>259</v>
      </c>
      <c r="C71" s="117" t="s">
        <v>182</v>
      </c>
      <c r="D71" s="117" t="s">
        <v>123</v>
      </c>
      <c r="E71" s="117" t="s">
        <v>260</v>
      </c>
      <c r="F71" s="117" t="s">
        <v>212</v>
      </c>
      <c r="G71" s="117" t="s">
        <v>15</v>
      </c>
      <c r="H71" s="117" t="s">
        <v>22</v>
      </c>
      <c r="I71" s="1" t="s">
        <v>42</v>
      </c>
      <c r="L71" s="117" t="s">
        <v>261</v>
      </c>
      <c r="M71" s="117" t="s">
        <v>151</v>
      </c>
      <c r="O71" s="117" t="n">
        <v>68</v>
      </c>
      <c r="P71" s="135"/>
      <c r="Q71" s="135"/>
      <c r="R71" s="135"/>
      <c r="S71" s="135"/>
      <c r="T71" s="135"/>
      <c r="U71" s="135"/>
      <c r="V71" s="135"/>
      <c r="W71" s="135"/>
      <c r="X71" s="135"/>
      <c r="Y71" s="135"/>
      <c r="Z71" s="135"/>
    </row>
    <row r="72" customFormat="false" ht="15.75" hidden="false" customHeight="true" outlineLevel="0" collapsed="false">
      <c r="A72" s="136" t="n">
        <v>45542</v>
      </c>
      <c r="B72" s="117" t="s">
        <v>259</v>
      </c>
      <c r="C72" s="117" t="s">
        <v>182</v>
      </c>
      <c r="D72" s="117" t="s">
        <v>123</v>
      </c>
      <c r="E72" s="117" t="s">
        <v>173</v>
      </c>
      <c r="F72" s="117" t="s">
        <v>103</v>
      </c>
      <c r="G72" s="117" t="s">
        <v>15</v>
      </c>
      <c r="H72" s="117" t="s">
        <v>22</v>
      </c>
      <c r="I72" s="1" t="s">
        <v>57</v>
      </c>
      <c r="L72" s="117" t="s">
        <v>262</v>
      </c>
      <c r="M72" s="117" t="s">
        <v>152</v>
      </c>
      <c r="O72" s="117" t="n">
        <v>69</v>
      </c>
      <c r="P72" s="135"/>
      <c r="Q72" s="135"/>
      <c r="R72" s="135"/>
      <c r="S72" s="135"/>
      <c r="T72" s="135"/>
      <c r="U72" s="135"/>
      <c r="V72" s="135"/>
      <c r="W72" s="135"/>
      <c r="X72" s="135"/>
      <c r="Y72" s="135"/>
      <c r="Z72" s="135"/>
    </row>
    <row r="73" customFormat="false" ht="15.75" hidden="false" customHeight="true" outlineLevel="0" collapsed="false">
      <c r="A73" s="139" t="s">
        <v>263</v>
      </c>
      <c r="B73" s="140" t="s">
        <v>264</v>
      </c>
      <c r="C73" s="140" t="s">
        <v>265</v>
      </c>
      <c r="D73" s="140" t="s">
        <v>266</v>
      </c>
      <c r="E73" s="140" t="s">
        <v>267</v>
      </c>
      <c r="F73" s="140" t="s">
        <v>268</v>
      </c>
      <c r="G73" s="140" t="s">
        <v>15</v>
      </c>
      <c r="H73" s="140" t="s">
        <v>22</v>
      </c>
      <c r="I73" s="1" t="s">
        <v>38</v>
      </c>
      <c r="J73" s="141"/>
      <c r="K73" s="141"/>
      <c r="L73" s="140" t="s">
        <v>269</v>
      </c>
      <c r="M73" s="140" t="s">
        <v>152</v>
      </c>
      <c r="N73" s="140" t="s">
        <v>270</v>
      </c>
      <c r="O73" s="117" t="n">
        <v>70</v>
      </c>
      <c r="P73" s="135"/>
      <c r="Q73" s="135"/>
      <c r="R73" s="135"/>
      <c r="S73" s="135"/>
      <c r="T73" s="135"/>
      <c r="U73" s="135"/>
      <c r="V73" s="135"/>
      <c r="W73" s="135"/>
      <c r="X73" s="135"/>
      <c r="Y73" s="135"/>
      <c r="Z73" s="135"/>
    </row>
    <row r="74" customFormat="false" ht="15.75" hidden="false" customHeight="true" outlineLevel="0" collapsed="false">
      <c r="A74" s="139" t="s">
        <v>263</v>
      </c>
      <c r="B74" s="140" t="s">
        <v>264</v>
      </c>
      <c r="C74" s="140" t="s">
        <v>265</v>
      </c>
      <c r="D74" s="140" t="s">
        <v>266</v>
      </c>
      <c r="E74" s="140" t="s">
        <v>271</v>
      </c>
      <c r="F74" s="140" t="s">
        <v>202</v>
      </c>
      <c r="G74" s="140" t="s">
        <v>15</v>
      </c>
      <c r="H74" s="140" t="s">
        <v>22</v>
      </c>
      <c r="I74" s="1" t="s">
        <v>38</v>
      </c>
      <c r="J74" s="141"/>
      <c r="K74" s="141"/>
      <c r="L74" s="140" t="s">
        <v>269</v>
      </c>
      <c r="M74" s="140" t="s">
        <v>152</v>
      </c>
      <c r="N74" s="140" t="s">
        <v>270</v>
      </c>
      <c r="O74" s="117" t="n">
        <v>71</v>
      </c>
      <c r="P74" s="135"/>
      <c r="Q74" s="135"/>
      <c r="R74" s="135"/>
      <c r="S74" s="135"/>
      <c r="T74" s="135"/>
      <c r="U74" s="135"/>
      <c r="V74" s="135"/>
      <c r="W74" s="135"/>
      <c r="X74" s="135"/>
      <c r="Y74" s="135"/>
      <c r="Z74" s="135"/>
    </row>
    <row r="75" customFormat="false" ht="15.75" hidden="false" customHeight="true" outlineLevel="0" collapsed="false">
      <c r="A75" s="139" t="s">
        <v>263</v>
      </c>
      <c r="B75" s="140" t="s">
        <v>264</v>
      </c>
      <c r="C75" s="140" t="s">
        <v>265</v>
      </c>
      <c r="D75" s="140" t="s">
        <v>266</v>
      </c>
      <c r="E75" s="140" t="s">
        <v>272</v>
      </c>
      <c r="F75" s="140" t="s">
        <v>273</v>
      </c>
      <c r="G75" s="140" t="s">
        <v>15</v>
      </c>
      <c r="H75" s="140" t="s">
        <v>22</v>
      </c>
      <c r="I75" s="1" t="s">
        <v>38</v>
      </c>
      <c r="J75" s="141"/>
      <c r="K75" s="141"/>
      <c r="L75" s="140" t="s">
        <v>269</v>
      </c>
      <c r="M75" s="140" t="s">
        <v>152</v>
      </c>
      <c r="N75" s="140" t="s">
        <v>270</v>
      </c>
      <c r="O75" s="117" t="n">
        <v>72</v>
      </c>
    </row>
    <row r="76" customFormat="false" ht="15.75" hidden="false" customHeight="true" outlineLevel="0" collapsed="false">
      <c r="A76" s="139" t="s">
        <v>274</v>
      </c>
      <c r="B76" s="140" t="s">
        <v>264</v>
      </c>
      <c r="C76" s="140" t="s">
        <v>265</v>
      </c>
      <c r="D76" s="140" t="s">
        <v>266</v>
      </c>
      <c r="E76" s="140" t="s">
        <v>275</v>
      </c>
      <c r="F76" s="140" t="s">
        <v>202</v>
      </c>
      <c r="G76" s="140" t="s">
        <v>15</v>
      </c>
      <c r="H76" s="140" t="s">
        <v>22</v>
      </c>
      <c r="I76" s="1" t="s">
        <v>38</v>
      </c>
      <c r="J76" s="141"/>
      <c r="K76" s="141"/>
      <c r="L76" s="140" t="s">
        <v>269</v>
      </c>
      <c r="M76" s="140" t="s">
        <v>152</v>
      </c>
      <c r="N76" s="140" t="s">
        <v>270</v>
      </c>
      <c r="O76" s="117" t="n">
        <v>73</v>
      </c>
    </row>
    <row r="77" customFormat="false" ht="15.75" hidden="false" customHeight="true" outlineLevel="0" collapsed="false">
      <c r="A77" s="139" t="s">
        <v>274</v>
      </c>
      <c r="B77" s="140" t="s">
        <v>264</v>
      </c>
      <c r="C77" s="140" t="s">
        <v>265</v>
      </c>
      <c r="D77" s="140" t="s">
        <v>266</v>
      </c>
      <c r="E77" s="140" t="s">
        <v>276</v>
      </c>
      <c r="F77" s="140" t="s">
        <v>271</v>
      </c>
      <c r="G77" s="140" t="s">
        <v>15</v>
      </c>
      <c r="H77" s="140" t="s">
        <v>21</v>
      </c>
      <c r="I77" s="1" t="s">
        <v>38</v>
      </c>
      <c r="J77" s="141"/>
      <c r="K77" s="141"/>
      <c r="L77" s="140" t="s">
        <v>269</v>
      </c>
      <c r="M77" s="140" t="s">
        <v>152</v>
      </c>
      <c r="N77" s="140" t="s">
        <v>270</v>
      </c>
      <c r="O77" s="117" t="n">
        <v>74</v>
      </c>
    </row>
    <row r="78" customFormat="false" ht="15.75" hidden="false" customHeight="true" outlineLevel="0" collapsed="false">
      <c r="A78" s="139" t="s">
        <v>274</v>
      </c>
      <c r="B78" s="140" t="s">
        <v>264</v>
      </c>
      <c r="C78" s="140" t="s">
        <v>265</v>
      </c>
      <c r="D78" s="140" t="s">
        <v>266</v>
      </c>
      <c r="E78" s="140" t="s">
        <v>272</v>
      </c>
      <c r="F78" s="140" t="s">
        <v>202</v>
      </c>
      <c r="G78" s="140" t="s">
        <v>15</v>
      </c>
      <c r="H78" s="140" t="s">
        <v>22</v>
      </c>
      <c r="I78" s="1" t="s">
        <v>38</v>
      </c>
      <c r="J78" s="141"/>
      <c r="K78" s="141"/>
      <c r="L78" s="140" t="s">
        <v>269</v>
      </c>
      <c r="M78" s="140" t="s">
        <v>152</v>
      </c>
      <c r="N78" s="140" t="s">
        <v>270</v>
      </c>
      <c r="O78" s="117" t="n">
        <v>75</v>
      </c>
    </row>
    <row r="79" customFormat="false" ht="15.75" hidden="false" customHeight="true" outlineLevel="0" collapsed="false">
      <c r="A79" s="139" t="s">
        <v>277</v>
      </c>
      <c r="B79" s="140" t="s">
        <v>264</v>
      </c>
      <c r="C79" s="140" t="s">
        <v>265</v>
      </c>
      <c r="D79" s="140" t="s">
        <v>266</v>
      </c>
      <c r="E79" s="140" t="s">
        <v>267</v>
      </c>
      <c r="F79" s="140" t="s">
        <v>278</v>
      </c>
      <c r="G79" s="140" t="s">
        <v>15</v>
      </c>
      <c r="H79" s="140" t="s">
        <v>22</v>
      </c>
      <c r="I79" s="1" t="s">
        <v>38</v>
      </c>
      <c r="J79" s="141"/>
      <c r="K79" s="141"/>
      <c r="L79" s="140" t="s">
        <v>269</v>
      </c>
      <c r="M79" s="140" t="s">
        <v>152</v>
      </c>
      <c r="N79" s="140" t="s">
        <v>270</v>
      </c>
      <c r="O79" s="117" t="n">
        <v>76</v>
      </c>
    </row>
    <row r="80" customFormat="false" ht="15.75" hidden="false" customHeight="true" outlineLevel="0" collapsed="false">
      <c r="A80" s="139" t="s">
        <v>277</v>
      </c>
      <c r="B80" s="140" t="s">
        <v>264</v>
      </c>
      <c r="C80" s="140" t="s">
        <v>265</v>
      </c>
      <c r="D80" s="140" t="s">
        <v>266</v>
      </c>
      <c r="E80" s="140" t="s">
        <v>279</v>
      </c>
      <c r="F80" s="140" t="s">
        <v>280</v>
      </c>
      <c r="G80" s="140" t="s">
        <v>15</v>
      </c>
      <c r="H80" s="140" t="s">
        <v>22</v>
      </c>
      <c r="I80" s="1" t="s">
        <v>38</v>
      </c>
      <c r="J80" s="141"/>
      <c r="K80" s="141"/>
      <c r="L80" s="140" t="s">
        <v>269</v>
      </c>
      <c r="M80" s="140" t="s">
        <v>281</v>
      </c>
      <c r="N80" s="140" t="s">
        <v>270</v>
      </c>
      <c r="O80" s="117" t="n">
        <v>77</v>
      </c>
    </row>
    <row r="81" customFormat="false" ht="15.75" hidden="false" customHeight="true" outlineLevel="0" collapsed="false">
      <c r="A81" s="136" t="n">
        <v>45577</v>
      </c>
      <c r="B81" s="117" t="s">
        <v>282</v>
      </c>
      <c r="C81" s="117" t="s">
        <v>258</v>
      </c>
      <c r="D81" s="140" t="s">
        <v>283</v>
      </c>
      <c r="E81" s="117" t="s">
        <v>103</v>
      </c>
      <c r="F81" s="117" t="s">
        <v>284</v>
      </c>
      <c r="G81" s="117" t="s">
        <v>15</v>
      </c>
      <c r="H81" s="117" t="s">
        <v>22</v>
      </c>
      <c r="I81" s="1" t="s">
        <v>38</v>
      </c>
      <c r="L81" s="117" t="s">
        <v>106</v>
      </c>
      <c r="M81" s="117" t="s">
        <v>111</v>
      </c>
      <c r="O81" s="117" t="n">
        <v>78</v>
      </c>
    </row>
    <row r="82" customFormat="false" ht="15.75" hidden="false" customHeight="true" outlineLevel="0" collapsed="false">
      <c r="A82" s="136" t="n">
        <v>45577</v>
      </c>
      <c r="B82" s="117" t="s">
        <v>282</v>
      </c>
      <c r="C82" s="117" t="s">
        <v>258</v>
      </c>
      <c r="D82" s="140" t="s">
        <v>283</v>
      </c>
      <c r="E82" s="117" t="s">
        <v>109</v>
      </c>
      <c r="F82" s="117" t="s">
        <v>254</v>
      </c>
      <c r="G82" s="117" t="s">
        <v>15</v>
      </c>
      <c r="H82" s="117" t="s">
        <v>22</v>
      </c>
      <c r="I82" s="1" t="s">
        <v>53</v>
      </c>
      <c r="L82" s="117" t="s">
        <v>209</v>
      </c>
      <c r="M82" s="117" t="s">
        <v>151</v>
      </c>
      <c r="O82" s="117" t="n">
        <v>79</v>
      </c>
    </row>
    <row r="83" customFormat="false" ht="15.75" hidden="false" customHeight="true" outlineLevel="0" collapsed="false">
      <c r="A83" s="136" t="n">
        <v>45599</v>
      </c>
      <c r="B83" s="117" t="s">
        <v>285</v>
      </c>
      <c r="C83" s="117" t="s">
        <v>215</v>
      </c>
      <c r="D83" s="117" t="s">
        <v>158</v>
      </c>
      <c r="E83" s="117" t="s">
        <v>286</v>
      </c>
      <c r="F83" s="117" t="s">
        <v>287</v>
      </c>
      <c r="G83" s="117" t="s">
        <v>15</v>
      </c>
      <c r="H83" s="117" t="s">
        <v>23</v>
      </c>
      <c r="I83" s="1" t="s">
        <v>53</v>
      </c>
      <c r="L83" s="117" t="s">
        <v>119</v>
      </c>
      <c r="M83" s="117" t="s">
        <v>151</v>
      </c>
      <c r="O83" s="117" t="n">
        <v>80</v>
      </c>
    </row>
    <row r="84" customFormat="false" ht="15.75" hidden="false" customHeight="true" outlineLevel="0" collapsed="false">
      <c r="A84" s="136" t="n">
        <v>45605</v>
      </c>
      <c r="B84" s="117" t="s">
        <v>288</v>
      </c>
      <c r="C84" s="117" t="s">
        <v>108</v>
      </c>
      <c r="D84" s="117" t="s">
        <v>109</v>
      </c>
      <c r="E84" s="117" t="s">
        <v>289</v>
      </c>
      <c r="F84" s="117" t="s">
        <v>290</v>
      </c>
      <c r="G84" s="117" t="s">
        <v>15</v>
      </c>
      <c r="H84" s="117" t="s">
        <v>22</v>
      </c>
      <c r="I84" s="1" t="s">
        <v>30</v>
      </c>
      <c r="L84" s="117" t="s">
        <v>106</v>
      </c>
      <c r="M84" s="117" t="s">
        <v>111</v>
      </c>
      <c r="O84" s="117" t="n">
        <v>81</v>
      </c>
    </row>
    <row r="85" customFormat="false" ht="15.75" hidden="false" customHeight="true" outlineLevel="0" collapsed="false">
      <c r="A85" s="136" t="n">
        <v>45605</v>
      </c>
      <c r="B85" s="117" t="s">
        <v>288</v>
      </c>
      <c r="C85" s="117" t="s">
        <v>108</v>
      </c>
      <c r="D85" s="117" t="s">
        <v>109</v>
      </c>
      <c r="E85" s="117" t="s">
        <v>109</v>
      </c>
      <c r="F85" s="136" t="s">
        <v>191</v>
      </c>
      <c r="G85" s="117" t="s">
        <v>15</v>
      </c>
      <c r="H85" s="117" t="s">
        <v>22</v>
      </c>
      <c r="I85" s="1" t="s">
        <v>38</v>
      </c>
      <c r="L85" s="117" t="s">
        <v>125</v>
      </c>
      <c r="M85" s="117" t="s">
        <v>111</v>
      </c>
      <c r="O85" s="117" t="n">
        <v>82</v>
      </c>
    </row>
    <row r="86" customFormat="false" ht="15.75" hidden="false" customHeight="true" outlineLevel="0" collapsed="false">
      <c r="A86" s="136" t="n">
        <v>45501</v>
      </c>
      <c r="B86" s="117" t="s">
        <v>291</v>
      </c>
      <c r="C86" s="117" t="s">
        <v>182</v>
      </c>
      <c r="D86" s="136" t="s">
        <v>292</v>
      </c>
      <c r="E86" s="117" t="s">
        <v>293</v>
      </c>
      <c r="F86" s="117" t="s">
        <v>294</v>
      </c>
      <c r="G86" s="1" t="s">
        <v>295</v>
      </c>
      <c r="H86" s="117" t="s">
        <v>296</v>
      </c>
      <c r="I86" s="117" t="s">
        <v>297</v>
      </c>
      <c r="J86" s="117" t="s">
        <v>298</v>
      </c>
      <c r="K86" s="117" t="s">
        <v>298</v>
      </c>
      <c r="L86" s="117" t="s">
        <v>299</v>
      </c>
      <c r="M86" s="117" t="s">
        <v>300</v>
      </c>
      <c r="N86" s="1"/>
      <c r="O86" s="117" t="n">
        <v>83</v>
      </c>
    </row>
    <row r="87" customFormat="false" ht="15.75" hidden="false" customHeight="true" outlineLevel="0" collapsed="false">
      <c r="A87" s="136" t="n">
        <v>45529</v>
      </c>
      <c r="B87" s="117" t="s">
        <v>301</v>
      </c>
      <c r="C87" s="117" t="s">
        <v>182</v>
      </c>
      <c r="D87" s="136" t="s">
        <v>292</v>
      </c>
      <c r="E87" s="117" t="s">
        <v>293</v>
      </c>
      <c r="F87" s="117" t="s">
        <v>302</v>
      </c>
      <c r="G87" s="1" t="s">
        <v>295</v>
      </c>
      <c r="H87" s="117" t="s">
        <v>296</v>
      </c>
      <c r="I87" s="117" t="s">
        <v>303</v>
      </c>
      <c r="J87" s="117" t="s">
        <v>298</v>
      </c>
      <c r="K87" s="117" t="s">
        <v>298</v>
      </c>
      <c r="L87" s="117" t="s">
        <v>304</v>
      </c>
      <c r="M87" s="117" t="s">
        <v>305</v>
      </c>
      <c r="N87" s="1"/>
      <c r="O87" s="117" t="n">
        <v>84</v>
      </c>
    </row>
    <row r="88" customFormat="false" ht="15.75" hidden="false" customHeight="true" outlineLevel="0" collapsed="false">
      <c r="A88" s="136" t="n">
        <v>45592</v>
      </c>
      <c r="B88" s="117" t="s">
        <v>306</v>
      </c>
      <c r="C88" s="117" t="s">
        <v>182</v>
      </c>
      <c r="D88" s="136" t="s">
        <v>292</v>
      </c>
      <c r="E88" s="117" t="s">
        <v>293</v>
      </c>
      <c r="F88" s="117" t="s">
        <v>307</v>
      </c>
      <c r="G88" s="1" t="s">
        <v>295</v>
      </c>
      <c r="H88" s="117" t="s">
        <v>296</v>
      </c>
      <c r="I88" s="117" t="s">
        <v>308</v>
      </c>
      <c r="J88" s="117" t="s">
        <v>298</v>
      </c>
      <c r="K88" s="117" t="s">
        <v>298</v>
      </c>
      <c r="L88" s="117" t="s">
        <v>309</v>
      </c>
      <c r="M88" s="117" t="s">
        <v>310</v>
      </c>
      <c r="N88" s="1"/>
      <c r="O88" s="117" t="n">
        <v>85</v>
      </c>
    </row>
    <row r="89" s="132" customFormat="true" ht="15.75" hidden="false" customHeight="true" outlineLevel="0" collapsed="false">
      <c r="A89" s="132" t="s">
        <v>311</v>
      </c>
      <c r="B89" s="131" t="s">
        <v>312</v>
      </c>
      <c r="C89" s="131" t="s">
        <v>313</v>
      </c>
      <c r="D89" s="131" t="s">
        <v>314</v>
      </c>
      <c r="E89" s="131" t="s">
        <v>315</v>
      </c>
      <c r="F89" s="131" t="s">
        <v>316</v>
      </c>
      <c r="G89" s="131" t="s">
        <v>15</v>
      </c>
      <c r="H89" s="131" t="s">
        <v>22</v>
      </c>
      <c r="I89" s="131" t="s">
        <v>53</v>
      </c>
      <c r="J89" s="131"/>
      <c r="K89" s="131"/>
      <c r="L89" s="131" t="s">
        <v>125</v>
      </c>
      <c r="M89" s="131" t="s">
        <v>235</v>
      </c>
      <c r="N89" s="131" t="s">
        <v>317</v>
      </c>
      <c r="O89" s="132" t="n">
        <v>86</v>
      </c>
      <c r="P89" s="132" t="n">
        <f aca="false">COUNT(O89:O134)</f>
        <v>46</v>
      </c>
    </row>
    <row r="90" customFormat="false" ht="15.75" hidden="false" customHeight="true" outlineLevel="0" collapsed="false">
      <c r="A90" s="139" t="s">
        <v>311</v>
      </c>
      <c r="B90" s="140" t="s">
        <v>312</v>
      </c>
      <c r="C90" s="140" t="s">
        <v>313</v>
      </c>
      <c r="D90" s="140" t="s">
        <v>314</v>
      </c>
      <c r="E90" s="140" t="s">
        <v>318</v>
      </c>
      <c r="F90" s="140" t="s">
        <v>319</v>
      </c>
      <c r="G90" s="140" t="s">
        <v>81</v>
      </c>
      <c r="H90" s="140" t="s">
        <v>22</v>
      </c>
      <c r="I90" s="1" t="s">
        <v>53</v>
      </c>
      <c r="L90" s="140" t="s">
        <v>320</v>
      </c>
      <c r="M90" s="140" t="s">
        <v>321</v>
      </c>
      <c r="O90" s="117" t="n">
        <v>87</v>
      </c>
    </row>
    <row r="91" customFormat="false" ht="15.75" hidden="false" customHeight="true" outlineLevel="0" collapsed="false">
      <c r="A91" s="139" t="s">
        <v>322</v>
      </c>
      <c r="B91" s="140" t="s">
        <v>312</v>
      </c>
      <c r="C91" s="140" t="s">
        <v>313</v>
      </c>
      <c r="D91" s="140" t="s">
        <v>314</v>
      </c>
      <c r="E91" s="140" t="s">
        <v>323</v>
      </c>
      <c r="F91" s="140" t="s">
        <v>324</v>
      </c>
      <c r="G91" s="140" t="s">
        <v>15</v>
      </c>
      <c r="H91" s="140" t="s">
        <v>22</v>
      </c>
      <c r="I91" s="1" t="s">
        <v>61</v>
      </c>
      <c r="O91" s="117" t="n">
        <v>88</v>
      </c>
    </row>
    <row r="92" customFormat="false" ht="15.75" hidden="false" customHeight="true" outlineLevel="0" collapsed="false">
      <c r="A92" s="142" t="s">
        <v>322</v>
      </c>
      <c r="B92" s="1" t="s">
        <v>312</v>
      </c>
      <c r="C92" s="1" t="s">
        <v>313</v>
      </c>
      <c r="D92" s="1" t="s">
        <v>314</v>
      </c>
      <c r="E92" s="1" t="s">
        <v>325</v>
      </c>
      <c r="F92" s="1" t="s">
        <v>326</v>
      </c>
      <c r="G92" s="1" t="s">
        <v>15</v>
      </c>
      <c r="H92" s="1" t="s">
        <v>22</v>
      </c>
      <c r="I92" s="1" t="s">
        <v>61</v>
      </c>
      <c r="J92" s="1"/>
      <c r="K92" s="1"/>
      <c r="L92" s="1" t="s">
        <v>125</v>
      </c>
      <c r="M92" s="1" t="s">
        <v>327</v>
      </c>
      <c r="N92" s="1" t="s">
        <v>317</v>
      </c>
      <c r="O92" s="117" t="n">
        <v>89</v>
      </c>
    </row>
    <row r="93" customFormat="false" ht="15.75" hidden="false" customHeight="true" outlineLevel="0" collapsed="false">
      <c r="A93" s="139" t="s">
        <v>322</v>
      </c>
      <c r="B93" s="140" t="s">
        <v>312</v>
      </c>
      <c r="C93" s="140" t="s">
        <v>313</v>
      </c>
      <c r="D93" s="140" t="s">
        <v>314</v>
      </c>
      <c r="E93" s="140" t="s">
        <v>315</v>
      </c>
      <c r="F93" s="140" t="s">
        <v>328</v>
      </c>
      <c r="G93" s="140" t="s">
        <v>15</v>
      </c>
      <c r="H93" s="140" t="s">
        <v>22</v>
      </c>
      <c r="I93" s="1" t="s">
        <v>65</v>
      </c>
      <c r="J93" s="141"/>
      <c r="K93" s="141"/>
      <c r="L93" s="140" t="s">
        <v>329</v>
      </c>
      <c r="M93" s="140" t="s">
        <v>321</v>
      </c>
      <c r="N93" s="140" t="s">
        <v>317</v>
      </c>
      <c r="O93" s="117" t="n">
        <v>90</v>
      </c>
      <c r="P93" s="141"/>
      <c r="Q93" s="141"/>
      <c r="R93" s="141"/>
      <c r="S93" s="141"/>
      <c r="T93" s="141"/>
      <c r="U93" s="141"/>
      <c r="V93" s="141"/>
      <c r="W93" s="141"/>
      <c r="X93" s="141"/>
      <c r="Y93" s="141"/>
    </row>
    <row r="94" customFormat="false" ht="15.75" hidden="false" customHeight="true" outlineLevel="0" collapsed="false">
      <c r="A94" s="139" t="s">
        <v>330</v>
      </c>
      <c r="B94" s="140" t="s">
        <v>331</v>
      </c>
      <c r="C94" s="140" t="s">
        <v>332</v>
      </c>
      <c r="D94" s="140" t="s">
        <v>333</v>
      </c>
      <c r="E94" s="140" t="s">
        <v>334</v>
      </c>
      <c r="F94" s="140" t="s">
        <v>335</v>
      </c>
      <c r="G94" s="140" t="s">
        <v>15</v>
      </c>
      <c r="H94" s="140" t="s">
        <v>23</v>
      </c>
      <c r="I94" s="1" t="s">
        <v>30</v>
      </c>
      <c r="J94" s="141"/>
      <c r="K94" s="141"/>
      <c r="L94" s="140" t="s">
        <v>336</v>
      </c>
      <c r="M94" s="140" t="s">
        <v>337</v>
      </c>
      <c r="N94" s="140" t="s">
        <v>338</v>
      </c>
      <c r="O94" s="117" t="n">
        <v>91</v>
      </c>
    </row>
    <row r="95" customFormat="false" ht="15.75" hidden="false" customHeight="true" outlineLevel="0" collapsed="false">
      <c r="A95" s="139" t="s">
        <v>330</v>
      </c>
      <c r="B95" s="140" t="s">
        <v>331</v>
      </c>
      <c r="C95" s="140" t="s">
        <v>332</v>
      </c>
      <c r="D95" s="140" t="s">
        <v>333</v>
      </c>
      <c r="E95" s="140" t="s">
        <v>339</v>
      </c>
      <c r="F95" s="140" t="s">
        <v>340</v>
      </c>
      <c r="G95" s="140" t="s">
        <v>15</v>
      </c>
      <c r="H95" s="140" t="s">
        <v>23</v>
      </c>
      <c r="I95" s="1" t="s">
        <v>30</v>
      </c>
      <c r="J95" s="141"/>
      <c r="K95" s="141"/>
      <c r="L95" s="140" t="s">
        <v>336</v>
      </c>
      <c r="M95" s="140" t="s">
        <v>337</v>
      </c>
      <c r="N95" s="140" t="s">
        <v>338</v>
      </c>
      <c r="O95" s="117" t="n">
        <v>92</v>
      </c>
    </row>
    <row r="96" customFormat="false" ht="15.75" hidden="false" customHeight="true" outlineLevel="0" collapsed="false">
      <c r="A96" s="139" t="s">
        <v>330</v>
      </c>
      <c r="B96" s="140" t="s">
        <v>331</v>
      </c>
      <c r="C96" s="140" t="s">
        <v>332</v>
      </c>
      <c r="D96" s="140" t="s">
        <v>333</v>
      </c>
      <c r="E96" s="140" t="s">
        <v>340</v>
      </c>
      <c r="F96" s="140" t="s">
        <v>335</v>
      </c>
      <c r="G96" s="140" t="s">
        <v>15</v>
      </c>
      <c r="H96" s="140" t="s">
        <v>23</v>
      </c>
      <c r="I96" s="1" t="s">
        <v>30</v>
      </c>
      <c r="J96" s="141"/>
      <c r="K96" s="141"/>
      <c r="L96" s="140" t="s">
        <v>336</v>
      </c>
      <c r="M96" s="140" t="s">
        <v>337</v>
      </c>
      <c r="N96" s="140" t="s">
        <v>338</v>
      </c>
      <c r="O96" s="117" t="n">
        <v>93</v>
      </c>
    </row>
    <row r="97" customFormat="false" ht="15.85" hidden="false" customHeight="true" outlineLevel="0" collapsed="false">
      <c r="A97" s="139" t="s">
        <v>330</v>
      </c>
      <c r="B97" s="140" t="s">
        <v>331</v>
      </c>
      <c r="C97" s="140" t="s">
        <v>332</v>
      </c>
      <c r="D97" s="140" t="s">
        <v>333</v>
      </c>
      <c r="E97" s="140" t="s">
        <v>341</v>
      </c>
      <c r="F97" s="140" t="s">
        <v>339</v>
      </c>
      <c r="G97" s="140" t="s">
        <v>15</v>
      </c>
      <c r="H97" s="140" t="s">
        <v>23</v>
      </c>
      <c r="I97" s="1" t="s">
        <v>30</v>
      </c>
      <c r="J97" s="141"/>
      <c r="K97" s="141"/>
      <c r="L97" s="140" t="s">
        <v>336</v>
      </c>
      <c r="M97" s="140" t="s">
        <v>337</v>
      </c>
      <c r="N97" s="140" t="s">
        <v>338</v>
      </c>
      <c r="O97" s="117" t="n">
        <v>94</v>
      </c>
    </row>
    <row r="98" customFormat="false" ht="15.85" hidden="false" customHeight="true" outlineLevel="0" collapsed="false">
      <c r="A98" s="139" t="s">
        <v>342</v>
      </c>
      <c r="B98" s="140" t="s">
        <v>331</v>
      </c>
      <c r="C98" s="140" t="s">
        <v>332</v>
      </c>
      <c r="D98" s="140" t="s">
        <v>333</v>
      </c>
      <c r="E98" s="140" t="s">
        <v>343</v>
      </c>
      <c r="F98" s="140" t="s">
        <v>344</v>
      </c>
      <c r="G98" s="140" t="s">
        <v>15</v>
      </c>
      <c r="H98" s="140" t="s">
        <v>23</v>
      </c>
      <c r="I98" s="1" t="s">
        <v>30</v>
      </c>
      <c r="J98" s="141"/>
      <c r="K98" s="141"/>
      <c r="L98" s="140" t="s">
        <v>336</v>
      </c>
      <c r="M98" s="140" t="s">
        <v>337</v>
      </c>
      <c r="N98" s="140" t="s">
        <v>338</v>
      </c>
      <c r="O98" s="117" t="n">
        <v>95</v>
      </c>
    </row>
    <row r="99" customFormat="false" ht="15.85" hidden="false" customHeight="true" outlineLevel="0" collapsed="false">
      <c r="A99" s="139" t="s">
        <v>342</v>
      </c>
      <c r="B99" s="140" t="s">
        <v>331</v>
      </c>
      <c r="C99" s="140" t="s">
        <v>332</v>
      </c>
      <c r="D99" s="140" t="s">
        <v>333</v>
      </c>
      <c r="E99" s="140" t="s">
        <v>335</v>
      </c>
      <c r="F99" s="140" t="s">
        <v>345</v>
      </c>
      <c r="G99" s="140" t="s">
        <v>15</v>
      </c>
      <c r="H99" s="140" t="s">
        <v>23</v>
      </c>
      <c r="I99" s="1" t="s">
        <v>30</v>
      </c>
      <c r="J99" s="141"/>
      <c r="K99" s="141"/>
      <c r="L99" s="140" t="s">
        <v>336</v>
      </c>
      <c r="M99" s="140" t="s">
        <v>337</v>
      </c>
      <c r="N99" s="140" t="s">
        <v>338</v>
      </c>
      <c r="O99" s="117" t="n">
        <v>96</v>
      </c>
    </row>
    <row r="100" customFormat="false" ht="15.85" hidden="false" customHeight="true" outlineLevel="0" collapsed="false">
      <c r="A100" s="139" t="s">
        <v>342</v>
      </c>
      <c r="B100" s="140" t="s">
        <v>331</v>
      </c>
      <c r="C100" s="140" t="s">
        <v>332</v>
      </c>
      <c r="D100" s="140" t="s">
        <v>333</v>
      </c>
      <c r="E100" s="140" t="s">
        <v>340</v>
      </c>
      <c r="F100" s="140" t="s">
        <v>344</v>
      </c>
      <c r="G100" s="140" t="s">
        <v>15</v>
      </c>
      <c r="H100" s="140" t="s">
        <v>23</v>
      </c>
      <c r="I100" s="1" t="s">
        <v>30</v>
      </c>
      <c r="J100" s="141"/>
      <c r="K100" s="141"/>
      <c r="L100" s="140" t="s">
        <v>336</v>
      </c>
      <c r="M100" s="140" t="s">
        <v>337</v>
      </c>
      <c r="N100" s="140" t="s">
        <v>338</v>
      </c>
      <c r="O100" s="117" t="n">
        <v>97</v>
      </c>
    </row>
    <row r="101" customFormat="false" ht="15.75" hidden="false" customHeight="true" outlineLevel="0" collapsed="false">
      <c r="A101" s="139" t="s">
        <v>342</v>
      </c>
      <c r="B101" s="140" t="s">
        <v>331</v>
      </c>
      <c r="C101" s="140" t="s">
        <v>332</v>
      </c>
      <c r="D101" s="140" t="s">
        <v>333</v>
      </c>
      <c r="E101" s="140" t="s">
        <v>335</v>
      </c>
      <c r="F101" s="140" t="s">
        <v>341</v>
      </c>
      <c r="G101" s="140" t="s">
        <v>15</v>
      </c>
      <c r="H101" s="140" t="s">
        <v>23</v>
      </c>
      <c r="I101" s="1" t="s">
        <v>30</v>
      </c>
      <c r="J101" s="141"/>
      <c r="K101" s="141"/>
      <c r="L101" s="140" t="s">
        <v>336</v>
      </c>
      <c r="M101" s="140" t="s">
        <v>337</v>
      </c>
      <c r="N101" s="140" t="s">
        <v>338</v>
      </c>
      <c r="O101" s="117" t="n">
        <v>98</v>
      </c>
    </row>
    <row r="102" customFormat="false" ht="15.75" hidden="false" customHeight="true" outlineLevel="0" collapsed="false">
      <c r="A102" s="139" t="s">
        <v>346</v>
      </c>
      <c r="B102" s="143" t="s">
        <v>347</v>
      </c>
      <c r="C102" s="140" t="s">
        <v>108</v>
      </c>
      <c r="D102" s="140" t="s">
        <v>109</v>
      </c>
      <c r="E102" s="140" t="s">
        <v>109</v>
      </c>
      <c r="F102" s="140" t="s">
        <v>212</v>
      </c>
      <c r="G102" s="140" t="s">
        <v>15</v>
      </c>
      <c r="H102" s="140" t="s">
        <v>21</v>
      </c>
      <c r="I102" s="1" t="s">
        <v>42</v>
      </c>
      <c r="J102" s="141"/>
      <c r="K102" s="141"/>
      <c r="L102" s="140" t="s">
        <v>336</v>
      </c>
      <c r="M102" s="140" t="s">
        <v>111</v>
      </c>
      <c r="N102" s="140"/>
      <c r="O102" s="117" t="n">
        <v>99</v>
      </c>
    </row>
    <row r="103" customFormat="false" ht="15.75" hidden="false" customHeight="true" outlineLevel="0" collapsed="false">
      <c r="A103" s="139" t="s">
        <v>346</v>
      </c>
      <c r="B103" s="143" t="s">
        <v>347</v>
      </c>
      <c r="C103" s="140" t="s">
        <v>108</v>
      </c>
      <c r="D103" s="140" t="s">
        <v>109</v>
      </c>
      <c r="E103" s="140" t="s">
        <v>109</v>
      </c>
      <c r="F103" s="140" t="s">
        <v>191</v>
      </c>
      <c r="G103" s="140" t="s">
        <v>15</v>
      </c>
      <c r="H103" s="140" t="s">
        <v>22</v>
      </c>
      <c r="I103" s="1" t="s">
        <v>38</v>
      </c>
      <c r="J103" s="141"/>
      <c r="K103" s="141"/>
      <c r="L103" s="140" t="s">
        <v>221</v>
      </c>
      <c r="M103" s="140" t="s">
        <v>185</v>
      </c>
      <c r="N103" s="140"/>
      <c r="O103" s="117" t="n">
        <v>100</v>
      </c>
    </row>
    <row r="104" customFormat="false" ht="15.75" hidden="false" customHeight="true" outlineLevel="0" collapsed="false">
      <c r="A104" s="139" t="s">
        <v>346</v>
      </c>
      <c r="B104" s="143" t="s">
        <v>347</v>
      </c>
      <c r="C104" s="140" t="s">
        <v>108</v>
      </c>
      <c r="D104" s="140" t="s">
        <v>109</v>
      </c>
      <c r="E104" s="140" t="s">
        <v>123</v>
      </c>
      <c r="F104" s="140" t="s">
        <v>191</v>
      </c>
      <c r="G104" s="140" t="s">
        <v>15</v>
      </c>
      <c r="H104" s="140" t="s">
        <v>22</v>
      </c>
      <c r="I104" s="1" t="s">
        <v>30</v>
      </c>
      <c r="J104" s="141"/>
      <c r="K104" s="141"/>
      <c r="L104" s="140" t="s">
        <v>119</v>
      </c>
      <c r="M104" s="140" t="s">
        <v>151</v>
      </c>
      <c r="N104" s="140"/>
      <c r="O104" s="117" t="n">
        <v>101</v>
      </c>
    </row>
    <row r="105" customFormat="false" ht="15.75" hidden="false" customHeight="true" outlineLevel="0" collapsed="false">
      <c r="A105" s="139" t="s">
        <v>348</v>
      </c>
      <c r="B105" s="140" t="s">
        <v>349</v>
      </c>
      <c r="C105" s="140" t="s">
        <v>350</v>
      </c>
      <c r="D105" s="140" t="s">
        <v>123</v>
      </c>
      <c r="E105" s="140" t="s">
        <v>351</v>
      </c>
      <c r="F105" s="140" t="s">
        <v>352</v>
      </c>
      <c r="G105" s="140" t="s">
        <v>15</v>
      </c>
      <c r="H105" s="140" t="s">
        <v>21</v>
      </c>
      <c r="I105" s="1" t="s">
        <v>38</v>
      </c>
      <c r="J105" s="141"/>
      <c r="K105" s="141"/>
      <c r="L105" s="140" t="s">
        <v>221</v>
      </c>
      <c r="M105" s="140" t="s">
        <v>151</v>
      </c>
      <c r="N105" s="140" t="s">
        <v>353</v>
      </c>
      <c r="O105" s="117" t="n">
        <v>102</v>
      </c>
      <c r="P105" s="141"/>
      <c r="Q105" s="141"/>
      <c r="R105" s="141"/>
      <c r="S105" s="141"/>
      <c r="T105" s="141"/>
      <c r="U105" s="141"/>
      <c r="V105" s="141"/>
      <c r="W105" s="141"/>
      <c r="X105" s="141"/>
      <c r="Y105" s="141"/>
      <c r="Z105" s="141"/>
      <c r="AA105" s="141"/>
      <c r="AB105" s="141"/>
      <c r="AC105" s="141"/>
      <c r="AD105" s="141"/>
      <c r="AE105" s="141"/>
      <c r="AF105" s="141"/>
      <c r="AG105" s="141"/>
      <c r="AH105" s="141"/>
    </row>
    <row r="106" customFormat="false" ht="15.75" hidden="false" customHeight="true" outlineLevel="0" collapsed="false">
      <c r="A106" s="139" t="s">
        <v>354</v>
      </c>
      <c r="B106" s="140" t="s">
        <v>349</v>
      </c>
      <c r="C106" s="140" t="s">
        <v>350</v>
      </c>
      <c r="D106" s="140" t="s">
        <v>123</v>
      </c>
      <c r="E106" s="140" t="s">
        <v>355</v>
      </c>
      <c r="F106" s="140" t="s">
        <v>352</v>
      </c>
      <c r="G106" s="140" t="s">
        <v>15</v>
      </c>
      <c r="H106" s="140" t="s">
        <v>21</v>
      </c>
      <c r="I106" s="1" t="s">
        <v>38</v>
      </c>
      <c r="J106" s="141"/>
      <c r="K106" s="141"/>
      <c r="L106" s="140" t="s">
        <v>221</v>
      </c>
      <c r="M106" s="140" t="s">
        <v>151</v>
      </c>
      <c r="N106" s="140" t="s">
        <v>353</v>
      </c>
      <c r="O106" s="117" t="n">
        <v>103</v>
      </c>
      <c r="P106" s="141"/>
      <c r="Q106" s="141"/>
      <c r="R106" s="141"/>
      <c r="S106" s="141"/>
      <c r="T106" s="141"/>
      <c r="U106" s="141"/>
      <c r="V106" s="141"/>
      <c r="W106" s="141"/>
      <c r="X106" s="141"/>
      <c r="Y106" s="141"/>
      <c r="Z106" s="141"/>
      <c r="AA106" s="141"/>
      <c r="AB106" s="141"/>
      <c r="AC106" s="141"/>
      <c r="AD106" s="141"/>
      <c r="AE106" s="141"/>
      <c r="AF106" s="141"/>
      <c r="AG106" s="141"/>
      <c r="AH106" s="141"/>
    </row>
    <row r="107" customFormat="false" ht="15.75" hidden="false" customHeight="true" outlineLevel="0" collapsed="false">
      <c r="A107" s="139" t="s">
        <v>354</v>
      </c>
      <c r="B107" s="140" t="s">
        <v>349</v>
      </c>
      <c r="C107" s="140" t="s">
        <v>350</v>
      </c>
      <c r="D107" s="140" t="s">
        <v>123</v>
      </c>
      <c r="E107" s="140" t="s">
        <v>351</v>
      </c>
      <c r="F107" s="140" t="s">
        <v>356</v>
      </c>
      <c r="G107" s="140" t="s">
        <v>15</v>
      </c>
      <c r="H107" s="140" t="s">
        <v>21</v>
      </c>
      <c r="I107" s="1" t="s">
        <v>38</v>
      </c>
      <c r="J107" s="141"/>
      <c r="K107" s="141"/>
      <c r="L107" s="140" t="s">
        <v>221</v>
      </c>
      <c r="M107" s="140" t="s">
        <v>151</v>
      </c>
      <c r="N107" s="140" t="s">
        <v>353</v>
      </c>
      <c r="O107" s="117" t="n">
        <v>104</v>
      </c>
      <c r="P107" s="141"/>
      <c r="Q107" s="141"/>
      <c r="R107" s="141"/>
      <c r="S107" s="141"/>
      <c r="T107" s="141"/>
      <c r="U107" s="141"/>
      <c r="V107" s="141"/>
      <c r="W107" s="141"/>
      <c r="X107" s="141"/>
      <c r="Y107" s="141"/>
      <c r="Z107" s="141"/>
      <c r="AA107" s="141"/>
      <c r="AB107" s="141"/>
      <c r="AC107" s="141"/>
      <c r="AD107" s="141"/>
      <c r="AE107" s="141"/>
      <c r="AF107" s="141"/>
      <c r="AG107" s="141"/>
      <c r="AH107" s="141"/>
    </row>
    <row r="108" customFormat="false" ht="15.75" hidden="false" customHeight="true" outlineLevel="0" collapsed="false">
      <c r="A108" s="139" t="s">
        <v>357</v>
      </c>
      <c r="B108" s="140" t="s">
        <v>349</v>
      </c>
      <c r="C108" s="140" t="s">
        <v>350</v>
      </c>
      <c r="D108" s="140" t="s">
        <v>123</v>
      </c>
      <c r="E108" s="140" t="s">
        <v>358</v>
      </c>
      <c r="F108" s="140" t="s">
        <v>352</v>
      </c>
      <c r="G108" s="140" t="s">
        <v>15</v>
      </c>
      <c r="H108" s="140" t="s">
        <v>21</v>
      </c>
      <c r="I108" s="1" t="s">
        <v>38</v>
      </c>
      <c r="J108" s="141"/>
      <c r="K108" s="141"/>
      <c r="L108" s="140" t="s">
        <v>221</v>
      </c>
      <c r="M108" s="140" t="s">
        <v>151</v>
      </c>
      <c r="N108" s="140" t="s">
        <v>353</v>
      </c>
      <c r="O108" s="117" t="n">
        <v>105</v>
      </c>
      <c r="P108" s="141"/>
      <c r="Q108" s="141"/>
      <c r="R108" s="141"/>
      <c r="S108" s="141"/>
      <c r="T108" s="141"/>
      <c r="U108" s="141"/>
      <c r="V108" s="141"/>
      <c r="W108" s="141"/>
      <c r="X108" s="141"/>
      <c r="Y108" s="141"/>
      <c r="Z108" s="141"/>
      <c r="AA108" s="141"/>
      <c r="AB108" s="141"/>
      <c r="AC108" s="141"/>
      <c r="AD108" s="141"/>
      <c r="AE108" s="141"/>
      <c r="AF108" s="141"/>
      <c r="AG108" s="141"/>
      <c r="AH108" s="141"/>
    </row>
    <row r="109" customFormat="false" ht="15.75" hidden="false" customHeight="true" outlineLevel="0" collapsed="false">
      <c r="A109" s="139" t="s">
        <v>359</v>
      </c>
      <c r="B109" s="140" t="s">
        <v>360</v>
      </c>
      <c r="C109" s="140" t="s">
        <v>258</v>
      </c>
      <c r="D109" s="140" t="s">
        <v>283</v>
      </c>
      <c r="E109" s="140" t="s">
        <v>103</v>
      </c>
      <c r="F109" s="140" t="s">
        <v>361</v>
      </c>
      <c r="G109" s="140" t="s">
        <v>15</v>
      </c>
      <c r="H109" s="140" t="s">
        <v>22</v>
      </c>
      <c r="I109" s="1" t="s">
        <v>38</v>
      </c>
      <c r="J109" s="141"/>
      <c r="K109" s="141"/>
      <c r="L109" s="140" t="s">
        <v>362</v>
      </c>
      <c r="M109" s="140" t="s">
        <v>151</v>
      </c>
      <c r="N109" s="140"/>
      <c r="O109" s="117" t="n">
        <v>106</v>
      </c>
      <c r="P109" s="141"/>
      <c r="Q109" s="141"/>
      <c r="R109" s="141"/>
      <c r="S109" s="141"/>
      <c r="T109" s="141"/>
      <c r="U109" s="141"/>
      <c r="V109" s="141"/>
      <c r="W109" s="141"/>
      <c r="X109" s="141"/>
      <c r="Y109" s="141"/>
      <c r="Z109" s="141"/>
      <c r="AA109" s="141"/>
      <c r="AB109" s="141"/>
      <c r="AC109" s="141"/>
      <c r="AD109" s="141"/>
      <c r="AE109" s="141"/>
      <c r="AF109" s="141"/>
      <c r="AG109" s="141"/>
      <c r="AH109" s="141"/>
    </row>
    <row r="110" customFormat="false" ht="15.75" hidden="false" customHeight="true" outlineLevel="0" collapsed="false">
      <c r="A110" s="139" t="s">
        <v>359</v>
      </c>
      <c r="B110" s="140" t="s">
        <v>360</v>
      </c>
      <c r="C110" s="140" t="s">
        <v>258</v>
      </c>
      <c r="D110" s="140" t="s">
        <v>283</v>
      </c>
      <c r="E110" s="140" t="s">
        <v>149</v>
      </c>
      <c r="F110" s="140" t="s">
        <v>145</v>
      </c>
      <c r="G110" s="140" t="s">
        <v>15</v>
      </c>
      <c r="H110" s="140" t="s">
        <v>22</v>
      </c>
      <c r="I110" s="1" t="s">
        <v>34</v>
      </c>
      <c r="J110" s="141"/>
      <c r="K110" s="141"/>
      <c r="L110" s="140" t="s">
        <v>221</v>
      </c>
      <c r="M110" s="140" t="s">
        <v>363</v>
      </c>
      <c r="N110" s="140"/>
      <c r="O110" s="117" t="n">
        <v>107</v>
      </c>
      <c r="P110" s="141"/>
      <c r="Q110" s="141"/>
      <c r="R110" s="141"/>
      <c r="S110" s="141"/>
      <c r="T110" s="141"/>
      <c r="U110" s="141"/>
      <c r="V110" s="141"/>
      <c r="W110" s="141"/>
      <c r="X110" s="141"/>
      <c r="Y110" s="141"/>
      <c r="Z110" s="141"/>
      <c r="AA110" s="141"/>
      <c r="AB110" s="141"/>
      <c r="AC110" s="141"/>
      <c r="AD110" s="141"/>
      <c r="AE110" s="141"/>
      <c r="AF110" s="141"/>
      <c r="AG110" s="141"/>
      <c r="AH110" s="141"/>
    </row>
    <row r="111" customFormat="false" ht="15.75" hidden="false" customHeight="true" outlineLevel="0" collapsed="false">
      <c r="A111" s="139" t="s">
        <v>364</v>
      </c>
      <c r="B111" s="140" t="s">
        <v>365</v>
      </c>
      <c r="C111" s="140" t="s">
        <v>122</v>
      </c>
      <c r="D111" s="140" t="s">
        <v>123</v>
      </c>
      <c r="E111" s="140" t="s">
        <v>133</v>
      </c>
      <c r="F111" s="140" t="s">
        <v>134</v>
      </c>
      <c r="G111" s="140" t="s">
        <v>15</v>
      </c>
      <c r="H111" s="140" t="s">
        <v>22</v>
      </c>
      <c r="I111" s="1" t="s">
        <v>53</v>
      </c>
      <c r="J111" s="141"/>
      <c r="K111" s="141"/>
      <c r="L111" s="140" t="s">
        <v>113</v>
      </c>
      <c r="M111" s="140" t="s">
        <v>151</v>
      </c>
      <c r="N111" s="140"/>
      <c r="O111" s="117" t="n">
        <v>108</v>
      </c>
      <c r="P111" s="141"/>
      <c r="Q111" s="141"/>
      <c r="R111" s="141"/>
      <c r="S111" s="141"/>
      <c r="T111" s="141"/>
      <c r="U111" s="141"/>
      <c r="V111" s="141"/>
      <c r="W111" s="141"/>
      <c r="X111" s="141"/>
      <c r="Y111" s="141"/>
      <c r="Z111" s="141"/>
      <c r="AA111" s="141"/>
      <c r="AB111" s="141"/>
      <c r="AC111" s="141"/>
      <c r="AD111" s="141"/>
      <c r="AE111" s="141"/>
      <c r="AF111" s="141"/>
      <c r="AG111" s="141"/>
      <c r="AH111" s="141"/>
    </row>
    <row r="112" customFormat="false" ht="15.75" hidden="false" customHeight="true" outlineLevel="0" collapsed="false">
      <c r="A112" s="139" t="s">
        <v>366</v>
      </c>
      <c r="B112" s="140" t="s">
        <v>367</v>
      </c>
      <c r="C112" s="140" t="s">
        <v>368</v>
      </c>
      <c r="D112" s="140" t="s">
        <v>369</v>
      </c>
      <c r="E112" s="140" t="s">
        <v>149</v>
      </c>
      <c r="F112" s="140" t="s">
        <v>370</v>
      </c>
      <c r="G112" s="140" t="s">
        <v>15</v>
      </c>
      <c r="H112" s="140" t="s">
        <v>22</v>
      </c>
      <c r="I112" s="1" t="s">
        <v>49</v>
      </c>
      <c r="J112" s="141"/>
      <c r="K112" s="141"/>
      <c r="L112" s="140" t="s">
        <v>362</v>
      </c>
      <c r="M112" s="140" t="s">
        <v>186</v>
      </c>
      <c r="N112" s="140"/>
      <c r="O112" s="117" t="n">
        <v>109</v>
      </c>
      <c r="P112" s="141"/>
      <c r="Q112" s="141"/>
      <c r="R112" s="141"/>
      <c r="S112" s="141"/>
      <c r="T112" s="141"/>
      <c r="U112" s="141"/>
      <c r="V112" s="141"/>
      <c r="W112" s="141"/>
      <c r="X112" s="141"/>
      <c r="Y112" s="141"/>
      <c r="Z112" s="141"/>
      <c r="AA112" s="141"/>
      <c r="AB112" s="141"/>
      <c r="AC112" s="141"/>
      <c r="AD112" s="141"/>
      <c r="AE112" s="141"/>
      <c r="AF112" s="141"/>
      <c r="AG112" s="141"/>
      <c r="AH112" s="141"/>
    </row>
    <row r="113" customFormat="false" ht="15.75" hidden="false" customHeight="true" outlineLevel="0" collapsed="false">
      <c r="A113" s="139" t="s">
        <v>366</v>
      </c>
      <c r="B113" s="140" t="s">
        <v>367</v>
      </c>
      <c r="C113" s="140" t="s">
        <v>368</v>
      </c>
      <c r="D113" s="140" t="s">
        <v>369</v>
      </c>
      <c r="E113" s="1" t="s">
        <v>371</v>
      </c>
      <c r="F113" s="140" t="s">
        <v>145</v>
      </c>
      <c r="G113" s="140" t="s">
        <v>15</v>
      </c>
      <c r="H113" s="140" t="s">
        <v>22</v>
      </c>
      <c r="I113" s="1" t="s">
        <v>34</v>
      </c>
      <c r="J113" s="141"/>
      <c r="K113" s="141"/>
      <c r="L113" s="140" t="s">
        <v>106</v>
      </c>
      <c r="M113" s="140" t="s">
        <v>372</v>
      </c>
      <c r="N113" s="140"/>
      <c r="O113" s="117" t="n">
        <v>110</v>
      </c>
      <c r="P113" s="141"/>
      <c r="Q113" s="141"/>
      <c r="R113" s="141"/>
      <c r="S113" s="141"/>
      <c r="T113" s="141"/>
      <c r="U113" s="141"/>
      <c r="V113" s="141"/>
      <c r="W113" s="141"/>
      <c r="X113" s="141"/>
      <c r="Y113" s="141"/>
      <c r="Z113" s="141"/>
      <c r="AA113" s="141"/>
      <c r="AB113" s="141"/>
      <c r="AC113" s="141"/>
      <c r="AD113" s="141"/>
      <c r="AE113" s="141"/>
      <c r="AF113" s="141"/>
      <c r="AG113" s="141"/>
      <c r="AH113" s="141"/>
    </row>
    <row r="114" customFormat="false" ht="15.75" hidden="false" customHeight="true" outlineLevel="0" collapsed="false">
      <c r="A114" s="139" t="s">
        <v>373</v>
      </c>
      <c r="B114" s="140" t="s">
        <v>374</v>
      </c>
      <c r="C114" s="140" t="s">
        <v>375</v>
      </c>
      <c r="D114" s="140" t="s">
        <v>376</v>
      </c>
      <c r="E114" s="1" t="s">
        <v>377</v>
      </c>
      <c r="F114" s="140" t="s">
        <v>371</v>
      </c>
      <c r="G114" s="140" t="s">
        <v>15</v>
      </c>
      <c r="H114" s="140" t="s">
        <v>22</v>
      </c>
      <c r="I114" s="1" t="s">
        <v>53</v>
      </c>
      <c r="J114" s="141"/>
      <c r="K114" s="141"/>
      <c r="L114" s="140" t="s">
        <v>106</v>
      </c>
      <c r="M114" s="140" t="s">
        <v>362</v>
      </c>
      <c r="N114" s="140"/>
      <c r="O114" s="117" t="n">
        <v>111</v>
      </c>
      <c r="P114" s="141"/>
      <c r="Q114" s="141"/>
      <c r="R114" s="141"/>
      <c r="S114" s="141"/>
      <c r="T114" s="141"/>
      <c r="U114" s="141"/>
      <c r="V114" s="141"/>
      <c r="W114" s="141"/>
      <c r="X114" s="141"/>
      <c r="Y114" s="141"/>
      <c r="Z114" s="141"/>
      <c r="AA114" s="141"/>
      <c r="AB114" s="141"/>
      <c r="AC114" s="141"/>
      <c r="AD114" s="141"/>
      <c r="AE114" s="141"/>
      <c r="AF114" s="141"/>
      <c r="AG114" s="141"/>
      <c r="AH114" s="141"/>
    </row>
    <row r="115" customFormat="false" ht="15.75" hidden="false" customHeight="true" outlineLevel="0" collapsed="false">
      <c r="A115" s="136" t="n">
        <v>45850</v>
      </c>
      <c r="B115" s="117" t="s">
        <v>378</v>
      </c>
      <c r="C115" s="117" t="s">
        <v>108</v>
      </c>
      <c r="D115" s="117" t="s">
        <v>109</v>
      </c>
      <c r="E115" s="117" t="s">
        <v>109</v>
      </c>
      <c r="F115" s="117" t="s">
        <v>191</v>
      </c>
      <c r="G115" s="117" t="s">
        <v>15</v>
      </c>
      <c r="H115" s="117" t="s">
        <v>22</v>
      </c>
      <c r="I115" s="1" t="s">
        <v>38</v>
      </c>
      <c r="L115" s="117" t="s">
        <v>119</v>
      </c>
      <c r="M115" s="117" t="s">
        <v>151</v>
      </c>
      <c r="O115" s="117" t="n">
        <v>112</v>
      </c>
    </row>
    <row r="116" customFormat="false" ht="15.75" hidden="false" customHeight="true" outlineLevel="0" collapsed="false">
      <c r="A116" s="136" t="n">
        <v>45850</v>
      </c>
      <c r="B116" s="117" t="s">
        <v>378</v>
      </c>
      <c r="C116" s="117" t="s">
        <v>108</v>
      </c>
      <c r="D116" s="117" t="s">
        <v>109</v>
      </c>
      <c r="E116" s="117" t="s">
        <v>377</v>
      </c>
      <c r="F116" s="117" t="s">
        <v>109</v>
      </c>
      <c r="G116" s="117" t="s">
        <v>15</v>
      </c>
      <c r="H116" s="117" t="s">
        <v>22</v>
      </c>
      <c r="I116" s="1" t="s">
        <v>57</v>
      </c>
      <c r="L116" s="117" t="s">
        <v>106</v>
      </c>
      <c r="M116" s="117" t="s">
        <v>151</v>
      </c>
      <c r="O116" s="117" t="n">
        <v>113</v>
      </c>
    </row>
    <row r="117" customFormat="false" ht="15.75" hidden="false" customHeight="true" outlineLevel="0" collapsed="false">
      <c r="A117" s="136" t="n">
        <v>45850</v>
      </c>
      <c r="B117" s="117" t="s">
        <v>378</v>
      </c>
      <c r="C117" s="117" t="s">
        <v>108</v>
      </c>
      <c r="D117" s="117" t="s">
        <v>109</v>
      </c>
      <c r="E117" s="117" t="s">
        <v>154</v>
      </c>
      <c r="F117" s="117" t="s">
        <v>379</v>
      </c>
      <c r="G117" s="117" t="s">
        <v>15</v>
      </c>
      <c r="H117" s="117" t="s">
        <v>22</v>
      </c>
      <c r="I117" s="1" t="s">
        <v>30</v>
      </c>
      <c r="L117" s="117" t="s">
        <v>380</v>
      </c>
      <c r="M117" s="117" t="s">
        <v>151</v>
      </c>
      <c r="O117" s="117" t="n">
        <v>114</v>
      </c>
    </row>
    <row r="118" customFormat="false" ht="15.75" hidden="false" customHeight="true" outlineLevel="0" collapsed="false">
      <c r="A118" s="136" t="n">
        <v>45850</v>
      </c>
      <c r="B118" s="117" t="s">
        <v>378</v>
      </c>
      <c r="C118" s="117" t="s">
        <v>108</v>
      </c>
      <c r="D118" s="117" t="s">
        <v>109</v>
      </c>
      <c r="E118" s="117" t="s">
        <v>123</v>
      </c>
      <c r="F118" s="117" t="s">
        <v>376</v>
      </c>
      <c r="G118" s="117" t="s">
        <v>15</v>
      </c>
      <c r="H118" s="117" t="s">
        <v>22</v>
      </c>
      <c r="I118" s="1" t="s">
        <v>38</v>
      </c>
      <c r="L118" s="117" t="s">
        <v>119</v>
      </c>
      <c r="M118" s="117" t="s">
        <v>362</v>
      </c>
      <c r="O118" s="117" t="n">
        <v>115</v>
      </c>
    </row>
    <row r="119" customFormat="false" ht="15.75" hidden="false" customHeight="true" outlineLevel="0" collapsed="false">
      <c r="A119" s="136" t="n">
        <v>45893</v>
      </c>
      <c r="B119" s="117" t="s">
        <v>381</v>
      </c>
      <c r="C119" s="117" t="s">
        <v>215</v>
      </c>
      <c r="D119" s="117" t="s">
        <v>103</v>
      </c>
      <c r="E119" s="117" t="s">
        <v>118</v>
      </c>
      <c r="F119" s="117" t="s">
        <v>103</v>
      </c>
      <c r="G119" s="117" t="s">
        <v>15</v>
      </c>
      <c r="H119" s="117" t="s">
        <v>22</v>
      </c>
      <c r="I119" s="1" t="s">
        <v>38</v>
      </c>
      <c r="L119" s="117" t="s">
        <v>362</v>
      </c>
      <c r="M119" s="117" t="s">
        <v>382</v>
      </c>
      <c r="O119" s="117" t="n">
        <v>116</v>
      </c>
    </row>
    <row r="120" customFormat="false" ht="15.75" hidden="false" customHeight="true" outlineLevel="0" collapsed="false">
      <c r="A120" s="136" t="n">
        <v>45925</v>
      </c>
      <c r="B120" s="117" t="s">
        <v>383</v>
      </c>
      <c r="C120" s="117" t="s">
        <v>215</v>
      </c>
      <c r="D120" s="117" t="s">
        <v>158</v>
      </c>
      <c r="E120" s="117" t="s">
        <v>103</v>
      </c>
      <c r="F120" s="117" t="s">
        <v>371</v>
      </c>
      <c r="G120" s="117" t="s">
        <v>15</v>
      </c>
      <c r="H120" s="117" t="s">
        <v>22</v>
      </c>
      <c r="I120" s="1" t="s">
        <v>49</v>
      </c>
      <c r="L120" s="117" t="s">
        <v>221</v>
      </c>
      <c r="M120" s="117" t="s">
        <v>111</v>
      </c>
      <c r="O120" s="117" t="n">
        <v>117</v>
      </c>
    </row>
    <row r="121" customFormat="false" ht="15.75" hidden="false" customHeight="true" outlineLevel="0" collapsed="false">
      <c r="A121" s="139" t="s">
        <v>384</v>
      </c>
      <c r="B121" s="140" t="s">
        <v>385</v>
      </c>
      <c r="C121" s="140" t="s">
        <v>265</v>
      </c>
      <c r="D121" s="140" t="s">
        <v>266</v>
      </c>
      <c r="E121" s="140" t="s">
        <v>386</v>
      </c>
      <c r="F121" s="140" t="s">
        <v>387</v>
      </c>
      <c r="G121" s="140" t="s">
        <v>15</v>
      </c>
      <c r="H121" s="140" t="s">
        <v>22</v>
      </c>
      <c r="I121" s="141" t="s">
        <v>38</v>
      </c>
      <c r="J121" s="141"/>
      <c r="K121" s="140"/>
      <c r="L121" s="140" t="s">
        <v>388</v>
      </c>
      <c r="M121" s="140" t="s">
        <v>389</v>
      </c>
      <c r="N121" s="140" t="s">
        <v>390</v>
      </c>
      <c r="O121" s="117" t="n">
        <v>118</v>
      </c>
      <c r="P121" s="141"/>
      <c r="Q121" s="141"/>
      <c r="R121" s="141"/>
      <c r="S121" s="141"/>
      <c r="T121" s="141"/>
      <c r="U121" s="141"/>
      <c r="V121" s="141"/>
      <c r="W121" s="141"/>
      <c r="X121" s="141"/>
      <c r="Y121" s="141"/>
      <c r="Z121" s="141"/>
    </row>
    <row r="122" customFormat="false" ht="15.75" hidden="false" customHeight="true" outlineLevel="0" collapsed="false">
      <c r="A122" s="139" t="s">
        <v>384</v>
      </c>
      <c r="B122" s="140" t="s">
        <v>385</v>
      </c>
      <c r="C122" s="140" t="s">
        <v>265</v>
      </c>
      <c r="D122" s="140" t="s">
        <v>266</v>
      </c>
      <c r="E122" s="140" t="s">
        <v>391</v>
      </c>
      <c r="F122" s="140" t="s">
        <v>392</v>
      </c>
      <c r="G122" s="140" t="s">
        <v>15</v>
      </c>
      <c r="H122" s="140" t="s">
        <v>21</v>
      </c>
      <c r="I122" s="141" t="s">
        <v>38</v>
      </c>
      <c r="J122" s="141"/>
      <c r="K122" s="140"/>
      <c r="L122" s="140" t="s">
        <v>388</v>
      </c>
      <c r="M122" s="140" t="s">
        <v>389</v>
      </c>
      <c r="N122" s="140" t="s">
        <v>390</v>
      </c>
      <c r="O122" s="117" t="n">
        <v>119</v>
      </c>
      <c r="P122" s="141"/>
      <c r="Q122" s="141"/>
      <c r="R122" s="141"/>
      <c r="S122" s="141"/>
      <c r="T122" s="141"/>
      <c r="U122" s="141"/>
      <c r="V122" s="141"/>
      <c r="W122" s="141"/>
      <c r="X122" s="141"/>
      <c r="Y122" s="141"/>
      <c r="Z122" s="141"/>
    </row>
    <row r="123" customFormat="false" ht="15.75" hidden="false" customHeight="true" outlineLevel="0" collapsed="false">
      <c r="A123" s="139" t="s">
        <v>384</v>
      </c>
      <c r="B123" s="140" t="s">
        <v>385</v>
      </c>
      <c r="C123" s="140" t="s">
        <v>265</v>
      </c>
      <c r="D123" s="140" t="s">
        <v>266</v>
      </c>
      <c r="E123" s="140" t="s">
        <v>393</v>
      </c>
      <c r="F123" s="140" t="s">
        <v>394</v>
      </c>
      <c r="G123" s="140" t="s">
        <v>15</v>
      </c>
      <c r="H123" s="140" t="s">
        <v>22</v>
      </c>
      <c r="I123" s="141" t="s">
        <v>42</v>
      </c>
      <c r="J123" s="141"/>
      <c r="K123" s="140"/>
      <c r="L123" s="140" t="s">
        <v>388</v>
      </c>
      <c r="M123" s="140" t="s">
        <v>395</v>
      </c>
      <c r="N123" s="140" t="s">
        <v>390</v>
      </c>
      <c r="O123" s="117" t="n">
        <v>120</v>
      </c>
      <c r="P123" s="141"/>
      <c r="Q123" s="141"/>
      <c r="R123" s="141"/>
      <c r="S123" s="141"/>
      <c r="T123" s="141"/>
      <c r="U123" s="141"/>
      <c r="V123" s="141"/>
      <c r="W123" s="141"/>
      <c r="X123" s="141"/>
      <c r="Y123" s="141"/>
      <c r="Z123" s="141"/>
    </row>
    <row r="124" customFormat="false" ht="15.75" hidden="false" customHeight="true" outlineLevel="0" collapsed="false">
      <c r="A124" s="139" t="s">
        <v>396</v>
      </c>
      <c r="B124" s="140" t="s">
        <v>385</v>
      </c>
      <c r="C124" s="140" t="s">
        <v>265</v>
      </c>
      <c r="D124" s="140" t="s">
        <v>266</v>
      </c>
      <c r="E124" s="140" t="s">
        <v>397</v>
      </c>
      <c r="F124" s="140" t="s">
        <v>398</v>
      </c>
      <c r="G124" s="140" t="s">
        <v>15</v>
      </c>
      <c r="H124" s="140" t="s">
        <v>21</v>
      </c>
      <c r="I124" s="141" t="s">
        <v>38</v>
      </c>
      <c r="J124" s="141"/>
      <c r="K124" s="140"/>
      <c r="L124" s="140" t="s">
        <v>388</v>
      </c>
      <c r="M124" s="140" t="s">
        <v>389</v>
      </c>
      <c r="N124" s="140" t="s">
        <v>390</v>
      </c>
      <c r="O124" s="117" t="n">
        <v>121</v>
      </c>
      <c r="P124" s="141"/>
      <c r="Q124" s="141"/>
      <c r="R124" s="141"/>
      <c r="S124" s="141"/>
      <c r="T124" s="141"/>
      <c r="U124" s="141"/>
      <c r="V124" s="141"/>
      <c r="W124" s="141"/>
      <c r="X124" s="141"/>
      <c r="Y124" s="141"/>
      <c r="Z124" s="141"/>
    </row>
    <row r="125" customFormat="false" ht="15.75" hidden="false" customHeight="true" outlineLevel="0" collapsed="false">
      <c r="A125" s="139" t="s">
        <v>396</v>
      </c>
      <c r="B125" s="140" t="s">
        <v>385</v>
      </c>
      <c r="C125" s="140" t="s">
        <v>265</v>
      </c>
      <c r="D125" s="140" t="s">
        <v>266</v>
      </c>
      <c r="E125" s="140" t="s">
        <v>393</v>
      </c>
      <c r="F125" s="140" t="s">
        <v>399</v>
      </c>
      <c r="G125" s="140" t="s">
        <v>15</v>
      </c>
      <c r="H125" s="140" t="s">
        <v>22</v>
      </c>
      <c r="I125" s="141" t="s">
        <v>38</v>
      </c>
      <c r="J125" s="141"/>
      <c r="K125" s="140"/>
      <c r="L125" s="140" t="s">
        <v>388</v>
      </c>
      <c r="M125" s="140" t="s">
        <v>389</v>
      </c>
      <c r="N125" s="140" t="s">
        <v>390</v>
      </c>
      <c r="O125" s="117" t="n">
        <v>122</v>
      </c>
      <c r="P125" s="141"/>
      <c r="Q125" s="141"/>
      <c r="R125" s="141"/>
      <c r="S125" s="141"/>
      <c r="T125" s="141"/>
      <c r="U125" s="141"/>
      <c r="V125" s="141"/>
      <c r="W125" s="141"/>
      <c r="X125" s="141"/>
      <c r="Y125" s="141"/>
      <c r="Z125" s="141"/>
    </row>
    <row r="126" customFormat="false" ht="15.75" hidden="false" customHeight="true" outlineLevel="0" collapsed="false">
      <c r="A126" s="139" t="s">
        <v>396</v>
      </c>
      <c r="B126" s="140" t="s">
        <v>385</v>
      </c>
      <c r="C126" s="140" t="s">
        <v>265</v>
      </c>
      <c r="D126" s="140" t="s">
        <v>266</v>
      </c>
      <c r="E126" s="140" t="s">
        <v>391</v>
      </c>
      <c r="F126" s="140" t="s">
        <v>398</v>
      </c>
      <c r="G126" s="140" t="s">
        <v>15</v>
      </c>
      <c r="H126" s="140" t="s">
        <v>21</v>
      </c>
      <c r="I126" s="141" t="s">
        <v>38</v>
      </c>
      <c r="J126" s="141"/>
      <c r="K126" s="140"/>
      <c r="L126" s="140" t="s">
        <v>388</v>
      </c>
      <c r="M126" s="140" t="s">
        <v>389</v>
      </c>
      <c r="N126" s="140" t="s">
        <v>390</v>
      </c>
      <c r="O126" s="117" t="n">
        <v>123</v>
      </c>
      <c r="P126" s="141"/>
      <c r="Q126" s="141"/>
      <c r="R126" s="141"/>
      <c r="S126" s="141"/>
      <c r="T126" s="141"/>
      <c r="U126" s="141"/>
      <c r="V126" s="141"/>
      <c r="W126" s="141"/>
      <c r="X126" s="141"/>
      <c r="Y126" s="141"/>
      <c r="Z126" s="141"/>
    </row>
    <row r="127" customFormat="false" ht="15.75" hidden="false" customHeight="true" outlineLevel="0" collapsed="false">
      <c r="A127" s="139" t="s">
        <v>400</v>
      </c>
      <c r="B127" s="140" t="s">
        <v>385</v>
      </c>
      <c r="C127" s="140" t="s">
        <v>265</v>
      </c>
      <c r="D127" s="140" t="s">
        <v>266</v>
      </c>
      <c r="E127" s="140" t="s">
        <v>401</v>
      </c>
      <c r="F127" s="140" t="s">
        <v>399</v>
      </c>
      <c r="G127" s="140" t="s">
        <v>15</v>
      </c>
      <c r="H127" s="140" t="s">
        <v>22</v>
      </c>
      <c r="I127" s="141" t="s">
        <v>38</v>
      </c>
      <c r="J127" s="141"/>
      <c r="K127" s="140"/>
      <c r="L127" s="140" t="s">
        <v>388</v>
      </c>
      <c r="M127" s="140" t="s">
        <v>389</v>
      </c>
      <c r="N127" s="140" t="s">
        <v>390</v>
      </c>
      <c r="O127" s="117" t="n">
        <v>124</v>
      </c>
      <c r="P127" s="141"/>
      <c r="Q127" s="141"/>
      <c r="R127" s="141"/>
      <c r="S127" s="141"/>
      <c r="T127" s="141"/>
      <c r="U127" s="141"/>
      <c r="V127" s="141"/>
      <c r="W127" s="141"/>
      <c r="X127" s="141"/>
      <c r="Y127" s="141"/>
      <c r="Z127" s="141"/>
    </row>
    <row r="128" customFormat="false" ht="15.75" hidden="false" customHeight="true" outlineLevel="0" collapsed="false">
      <c r="A128" s="139" t="s">
        <v>400</v>
      </c>
      <c r="B128" s="140" t="s">
        <v>385</v>
      </c>
      <c r="C128" s="140" t="s">
        <v>265</v>
      </c>
      <c r="D128" s="140" t="s">
        <v>266</v>
      </c>
      <c r="E128" s="140" t="s">
        <v>176</v>
      </c>
      <c r="F128" s="140" t="s">
        <v>393</v>
      </c>
      <c r="G128" s="140" t="s">
        <v>15</v>
      </c>
      <c r="H128" s="140" t="s">
        <v>21</v>
      </c>
      <c r="I128" s="141" t="s">
        <v>38</v>
      </c>
      <c r="J128" s="141"/>
      <c r="K128" s="140"/>
      <c r="L128" s="140" t="s">
        <v>388</v>
      </c>
      <c r="M128" s="140" t="s">
        <v>389</v>
      </c>
      <c r="N128" s="140" t="s">
        <v>390</v>
      </c>
      <c r="O128" s="117" t="n">
        <v>125</v>
      </c>
      <c r="P128" s="141"/>
      <c r="Q128" s="141"/>
      <c r="R128" s="141"/>
      <c r="S128" s="141"/>
      <c r="T128" s="141"/>
      <c r="U128" s="141"/>
      <c r="V128" s="141"/>
      <c r="W128" s="141"/>
      <c r="X128" s="141"/>
      <c r="Y128" s="141"/>
      <c r="Z128" s="141"/>
    </row>
    <row r="129" customFormat="false" ht="15.75" hidden="false" customHeight="true" outlineLevel="0" collapsed="false">
      <c r="A129" s="136" t="n">
        <v>45941</v>
      </c>
      <c r="B129" s="117" t="s">
        <v>402</v>
      </c>
      <c r="C129" s="117" t="s">
        <v>108</v>
      </c>
      <c r="D129" s="117" t="s">
        <v>109</v>
      </c>
      <c r="E129" s="117" t="s">
        <v>154</v>
      </c>
      <c r="F129" s="117" t="s">
        <v>403</v>
      </c>
      <c r="G129" s="117" t="s">
        <v>15</v>
      </c>
      <c r="H129" s="117" t="s">
        <v>22</v>
      </c>
      <c r="I129" s="1" t="s">
        <v>30</v>
      </c>
      <c r="L129" s="117" t="s">
        <v>119</v>
      </c>
      <c r="M129" s="117" t="s">
        <v>111</v>
      </c>
      <c r="O129" s="117" t="n">
        <v>126</v>
      </c>
    </row>
    <row r="130" customFormat="false" ht="15.75" hidden="false" customHeight="true" outlineLevel="0" collapsed="false">
      <c r="A130" s="136" t="n">
        <v>45941</v>
      </c>
      <c r="B130" s="117" t="s">
        <v>402</v>
      </c>
      <c r="C130" s="117" t="s">
        <v>108</v>
      </c>
      <c r="D130" s="117" t="s">
        <v>109</v>
      </c>
      <c r="E130" s="117" t="s">
        <v>280</v>
      </c>
      <c r="F130" s="117" t="s">
        <v>212</v>
      </c>
      <c r="G130" s="117" t="s">
        <v>15</v>
      </c>
      <c r="H130" s="117" t="s">
        <v>21</v>
      </c>
      <c r="I130" s="1" t="s">
        <v>49</v>
      </c>
      <c r="L130" s="117" t="s">
        <v>380</v>
      </c>
      <c r="M130" s="117" t="s">
        <v>111</v>
      </c>
      <c r="O130" s="117" t="n">
        <v>127</v>
      </c>
    </row>
    <row r="131" customFormat="false" ht="15.75" hidden="false" customHeight="true" outlineLevel="0" collapsed="false">
      <c r="A131" s="136" t="n">
        <v>45949</v>
      </c>
      <c r="B131" s="117" t="s">
        <v>404</v>
      </c>
      <c r="C131" s="117" t="s">
        <v>405</v>
      </c>
      <c r="D131" s="117" t="s">
        <v>110</v>
      </c>
      <c r="E131" s="117" t="s">
        <v>406</v>
      </c>
      <c r="F131" s="117" t="s">
        <v>103</v>
      </c>
      <c r="G131" s="117" t="s">
        <v>15</v>
      </c>
      <c r="H131" s="117" t="s">
        <v>22</v>
      </c>
      <c r="I131" s="1" t="s">
        <v>34</v>
      </c>
      <c r="L131" s="117" t="s">
        <v>106</v>
      </c>
      <c r="M131" s="117" t="s">
        <v>186</v>
      </c>
      <c r="O131" s="117" t="n">
        <v>128</v>
      </c>
    </row>
    <row r="132" customFormat="false" ht="15.75" hidden="false" customHeight="true" outlineLevel="0" collapsed="false">
      <c r="A132" s="136" t="n">
        <v>45956</v>
      </c>
      <c r="B132" s="117" t="s">
        <v>407</v>
      </c>
      <c r="C132" s="117" t="s">
        <v>122</v>
      </c>
      <c r="D132" s="117" t="s">
        <v>123</v>
      </c>
      <c r="E132" s="117" t="s">
        <v>408</v>
      </c>
      <c r="F132" s="117" t="s">
        <v>409</v>
      </c>
      <c r="G132" s="117" t="s">
        <v>15</v>
      </c>
      <c r="H132" s="117" t="s">
        <v>22</v>
      </c>
      <c r="I132" s="1" t="s">
        <v>38</v>
      </c>
      <c r="L132" s="117" t="s">
        <v>362</v>
      </c>
      <c r="M132" s="117" t="s">
        <v>185</v>
      </c>
      <c r="O132" s="117" t="n">
        <v>129</v>
      </c>
    </row>
    <row r="133" customFormat="false" ht="15.75" hidden="false" customHeight="true" outlineLevel="0" collapsed="false">
      <c r="A133" s="136" t="n">
        <v>45970</v>
      </c>
      <c r="B133" s="117" t="s">
        <v>410</v>
      </c>
      <c r="C133" s="117" t="s">
        <v>215</v>
      </c>
      <c r="D133" s="117" t="s">
        <v>158</v>
      </c>
      <c r="E133" s="117" t="s">
        <v>411</v>
      </c>
      <c r="F133" s="117" t="s">
        <v>412</v>
      </c>
      <c r="G133" s="117" t="s">
        <v>15</v>
      </c>
      <c r="H133" s="117" t="s">
        <v>23</v>
      </c>
      <c r="I133" s="1" t="s">
        <v>38</v>
      </c>
      <c r="L133" s="117" t="s">
        <v>185</v>
      </c>
      <c r="M133" s="117" t="s">
        <v>363</v>
      </c>
      <c r="O133" s="117" t="n">
        <v>130</v>
      </c>
    </row>
    <row r="134" customFormat="false" ht="15.75" hidden="false" customHeight="true" outlineLevel="0" collapsed="false">
      <c r="A134" s="136" t="n">
        <v>45970</v>
      </c>
      <c r="B134" s="117" t="s">
        <v>410</v>
      </c>
      <c r="C134" s="117" t="s">
        <v>215</v>
      </c>
      <c r="D134" s="117" t="s">
        <v>158</v>
      </c>
      <c r="E134" s="117" t="s">
        <v>413</v>
      </c>
      <c r="F134" s="117" t="s">
        <v>414</v>
      </c>
      <c r="G134" s="117" t="s">
        <v>15</v>
      </c>
      <c r="H134" s="117" t="s">
        <v>23</v>
      </c>
      <c r="I134" s="1" t="s">
        <v>53</v>
      </c>
      <c r="L134" s="117" t="s">
        <v>415</v>
      </c>
      <c r="M134" s="117" t="s">
        <v>185</v>
      </c>
      <c r="O134" s="117" t="n">
        <v>131</v>
      </c>
    </row>
    <row r="135" s="132" customFormat="true" ht="15.75" hidden="false" customHeight="true" outlineLevel="0" collapsed="false">
      <c r="A135" s="144" t="s">
        <v>416</v>
      </c>
      <c r="B135" s="145" t="s">
        <v>417</v>
      </c>
      <c r="C135" s="145" t="s">
        <v>332</v>
      </c>
      <c r="D135" s="145" t="s">
        <v>333</v>
      </c>
      <c r="E135" s="145" t="s">
        <v>418</v>
      </c>
      <c r="F135" s="145" t="s">
        <v>335</v>
      </c>
      <c r="G135" s="145" t="s">
        <v>15</v>
      </c>
      <c r="H135" s="145" t="s">
        <v>23</v>
      </c>
      <c r="I135" s="141" t="s">
        <v>61</v>
      </c>
      <c r="J135" s="131"/>
      <c r="K135" s="131"/>
      <c r="L135" s="145" t="s">
        <v>336</v>
      </c>
      <c r="M135" s="145" t="s">
        <v>419</v>
      </c>
      <c r="N135" s="145" t="s">
        <v>338</v>
      </c>
      <c r="O135" s="117" t="n">
        <v>132</v>
      </c>
      <c r="P135" s="131" t="n">
        <f aca="false">COUNT(O135:O153)</f>
        <v>19</v>
      </c>
      <c r="Q135" s="131"/>
      <c r="R135" s="131"/>
      <c r="S135" s="131"/>
      <c r="T135" s="131"/>
      <c r="U135" s="131"/>
      <c r="V135" s="131"/>
      <c r="W135" s="131"/>
      <c r="X135" s="131"/>
      <c r="Y135" s="131"/>
      <c r="Z135" s="131"/>
    </row>
    <row r="136" customFormat="false" ht="15.75" hidden="false" customHeight="true" outlineLevel="0" collapsed="false">
      <c r="A136" s="139" t="s">
        <v>416</v>
      </c>
      <c r="B136" s="140" t="s">
        <v>417</v>
      </c>
      <c r="C136" s="140" t="s">
        <v>332</v>
      </c>
      <c r="D136" s="140" t="s">
        <v>333</v>
      </c>
      <c r="E136" s="140" t="s">
        <v>420</v>
      </c>
      <c r="F136" s="140" t="s">
        <v>421</v>
      </c>
      <c r="G136" s="140" t="s">
        <v>15</v>
      </c>
      <c r="H136" s="140" t="s">
        <v>23</v>
      </c>
      <c r="I136" s="141" t="s">
        <v>61</v>
      </c>
      <c r="J136" s="141"/>
      <c r="K136" s="141"/>
      <c r="L136" s="140" t="s">
        <v>336</v>
      </c>
      <c r="M136" s="140" t="s">
        <v>419</v>
      </c>
      <c r="N136" s="140" t="s">
        <v>338</v>
      </c>
      <c r="O136" s="117" t="n">
        <v>133</v>
      </c>
      <c r="P136" s="141"/>
      <c r="Q136" s="141"/>
      <c r="R136" s="141"/>
      <c r="S136" s="141"/>
      <c r="T136" s="141"/>
      <c r="U136" s="141"/>
      <c r="V136" s="141"/>
      <c r="W136" s="141"/>
      <c r="X136" s="141"/>
      <c r="Y136" s="141"/>
      <c r="Z136" s="141"/>
    </row>
    <row r="137" customFormat="false" ht="15.75" hidden="false" customHeight="true" outlineLevel="0" collapsed="false">
      <c r="A137" s="139" t="s">
        <v>416</v>
      </c>
      <c r="B137" s="140" t="s">
        <v>417</v>
      </c>
      <c r="C137" s="140" t="s">
        <v>332</v>
      </c>
      <c r="D137" s="140" t="s">
        <v>333</v>
      </c>
      <c r="E137" s="140" t="s">
        <v>422</v>
      </c>
      <c r="F137" s="140" t="s">
        <v>420</v>
      </c>
      <c r="G137" s="140" t="s">
        <v>15</v>
      </c>
      <c r="H137" s="140" t="s">
        <v>23</v>
      </c>
      <c r="I137" s="141" t="s">
        <v>61</v>
      </c>
      <c r="J137" s="141"/>
      <c r="K137" s="141"/>
      <c r="L137" s="140" t="s">
        <v>336</v>
      </c>
      <c r="M137" s="140" t="s">
        <v>419</v>
      </c>
      <c r="N137" s="140" t="s">
        <v>338</v>
      </c>
      <c r="O137" s="117" t="n">
        <v>134</v>
      </c>
      <c r="P137" s="141"/>
      <c r="Q137" s="141"/>
      <c r="R137" s="141"/>
      <c r="S137" s="141"/>
      <c r="T137" s="141"/>
      <c r="U137" s="141"/>
      <c r="V137" s="141"/>
      <c r="W137" s="141"/>
      <c r="X137" s="141"/>
      <c r="Y137" s="141"/>
      <c r="Z137" s="141"/>
    </row>
    <row r="138" customFormat="false" ht="15.75" hidden="false" customHeight="true" outlineLevel="0" collapsed="false">
      <c r="A138" s="139" t="s">
        <v>416</v>
      </c>
      <c r="B138" s="140" t="s">
        <v>417</v>
      </c>
      <c r="C138" s="140" t="s">
        <v>332</v>
      </c>
      <c r="D138" s="140" t="s">
        <v>333</v>
      </c>
      <c r="E138" s="140" t="s">
        <v>421</v>
      </c>
      <c r="F138" s="140" t="s">
        <v>418</v>
      </c>
      <c r="G138" s="140" t="s">
        <v>15</v>
      </c>
      <c r="H138" s="140" t="s">
        <v>23</v>
      </c>
      <c r="I138" s="141" t="s">
        <v>61</v>
      </c>
      <c r="J138" s="141"/>
      <c r="K138" s="141"/>
      <c r="L138" s="140" t="s">
        <v>336</v>
      </c>
      <c r="M138" s="140" t="s">
        <v>419</v>
      </c>
      <c r="N138" s="140" t="s">
        <v>338</v>
      </c>
      <c r="O138" s="117" t="n">
        <v>135</v>
      </c>
      <c r="P138" s="141"/>
      <c r="Q138" s="141"/>
      <c r="R138" s="141"/>
      <c r="S138" s="141"/>
      <c r="T138" s="141"/>
      <c r="U138" s="141"/>
      <c r="V138" s="141"/>
      <c r="W138" s="141"/>
      <c r="X138" s="141"/>
      <c r="Y138" s="141"/>
      <c r="Z138" s="141"/>
    </row>
    <row r="139" customFormat="false" ht="15.75" hidden="false" customHeight="true" outlineLevel="0" collapsed="false">
      <c r="A139" s="139" t="s">
        <v>423</v>
      </c>
      <c r="B139" s="140" t="s">
        <v>417</v>
      </c>
      <c r="C139" s="140" t="s">
        <v>332</v>
      </c>
      <c r="D139" s="140" t="s">
        <v>333</v>
      </c>
      <c r="E139" s="140" t="s">
        <v>335</v>
      </c>
      <c r="F139" s="140" t="s">
        <v>422</v>
      </c>
      <c r="G139" s="140" t="s">
        <v>15</v>
      </c>
      <c r="H139" s="140" t="s">
        <v>23</v>
      </c>
      <c r="I139" s="141" t="s">
        <v>61</v>
      </c>
      <c r="J139" s="141"/>
      <c r="K139" s="141"/>
      <c r="L139" s="140" t="s">
        <v>336</v>
      </c>
      <c r="M139" s="140" t="s">
        <v>419</v>
      </c>
      <c r="N139" s="140" t="s">
        <v>338</v>
      </c>
      <c r="O139" s="117" t="n">
        <v>136</v>
      </c>
      <c r="P139" s="141"/>
      <c r="Q139" s="141"/>
      <c r="R139" s="141"/>
      <c r="S139" s="141"/>
      <c r="T139" s="141"/>
      <c r="U139" s="141"/>
      <c r="V139" s="141"/>
      <c r="W139" s="141"/>
      <c r="X139" s="141"/>
      <c r="Y139" s="141"/>
      <c r="Z139" s="141"/>
    </row>
    <row r="140" customFormat="false" ht="15.75" hidden="false" customHeight="true" outlineLevel="0" collapsed="false">
      <c r="A140" s="139" t="s">
        <v>423</v>
      </c>
      <c r="B140" s="140" t="s">
        <v>417</v>
      </c>
      <c r="C140" s="140" t="s">
        <v>332</v>
      </c>
      <c r="D140" s="140" t="s">
        <v>333</v>
      </c>
      <c r="E140" s="140" t="s">
        <v>424</v>
      </c>
      <c r="F140" s="140" t="s">
        <v>418</v>
      </c>
      <c r="G140" s="140" t="s">
        <v>15</v>
      </c>
      <c r="H140" s="140" t="s">
        <v>23</v>
      </c>
      <c r="I140" s="141" t="s">
        <v>61</v>
      </c>
      <c r="J140" s="141"/>
      <c r="K140" s="141"/>
      <c r="L140" s="140" t="s">
        <v>336</v>
      </c>
      <c r="M140" s="140" t="s">
        <v>419</v>
      </c>
      <c r="N140" s="140" t="s">
        <v>338</v>
      </c>
      <c r="O140" s="117" t="n">
        <v>137</v>
      </c>
      <c r="P140" s="141"/>
      <c r="Q140" s="141"/>
      <c r="R140" s="141"/>
      <c r="S140" s="141"/>
      <c r="T140" s="141"/>
      <c r="U140" s="141"/>
      <c r="V140" s="141"/>
      <c r="W140" s="141"/>
      <c r="X140" s="141"/>
      <c r="Y140" s="141"/>
      <c r="Z140" s="141"/>
    </row>
    <row r="141" customFormat="false" ht="15.75" hidden="false" customHeight="true" outlineLevel="0" collapsed="false">
      <c r="A141" s="139" t="s">
        <v>423</v>
      </c>
      <c r="B141" s="140" t="s">
        <v>417</v>
      </c>
      <c r="C141" s="140" t="s">
        <v>332</v>
      </c>
      <c r="D141" s="140" t="s">
        <v>333</v>
      </c>
      <c r="E141" s="140" t="s">
        <v>422</v>
      </c>
      <c r="F141" s="140" t="s">
        <v>424</v>
      </c>
      <c r="G141" s="140" t="s">
        <v>15</v>
      </c>
      <c r="H141" s="140" t="s">
        <v>23</v>
      </c>
      <c r="I141" s="141" t="s">
        <v>61</v>
      </c>
      <c r="J141" s="141"/>
      <c r="K141" s="141"/>
      <c r="L141" s="140" t="s">
        <v>336</v>
      </c>
      <c r="M141" s="140" t="s">
        <v>419</v>
      </c>
      <c r="N141" s="140" t="s">
        <v>338</v>
      </c>
      <c r="O141" s="117" t="n">
        <v>138</v>
      </c>
      <c r="P141" s="141"/>
      <c r="Q141" s="141"/>
      <c r="R141" s="141"/>
      <c r="S141" s="141"/>
      <c r="T141" s="141"/>
      <c r="U141" s="141"/>
      <c r="V141" s="141"/>
      <c r="W141" s="141"/>
      <c r="X141" s="141"/>
      <c r="Y141" s="141"/>
      <c r="Z141" s="141"/>
    </row>
    <row r="142" customFormat="false" ht="15.75" hidden="false" customHeight="true" outlineLevel="0" collapsed="false">
      <c r="A142" s="139" t="s">
        <v>423</v>
      </c>
      <c r="B142" s="140" t="s">
        <v>417</v>
      </c>
      <c r="C142" s="140" t="s">
        <v>332</v>
      </c>
      <c r="D142" s="140" t="s">
        <v>333</v>
      </c>
      <c r="E142" s="140" t="s">
        <v>418</v>
      </c>
      <c r="F142" s="140" t="s">
        <v>420</v>
      </c>
      <c r="G142" s="140" t="s">
        <v>15</v>
      </c>
      <c r="H142" s="140" t="s">
        <v>23</v>
      </c>
      <c r="I142" s="141" t="s">
        <v>61</v>
      </c>
      <c r="J142" s="141"/>
      <c r="K142" s="141"/>
      <c r="L142" s="140" t="s">
        <v>336</v>
      </c>
      <c r="M142" s="140" t="s">
        <v>419</v>
      </c>
      <c r="N142" s="140" t="s">
        <v>338</v>
      </c>
      <c r="O142" s="117" t="n">
        <v>139</v>
      </c>
      <c r="P142" s="141"/>
      <c r="Q142" s="141"/>
      <c r="R142" s="141"/>
      <c r="S142" s="141"/>
      <c r="T142" s="141"/>
      <c r="U142" s="141"/>
      <c r="V142" s="141"/>
      <c r="W142" s="141"/>
      <c r="X142" s="141"/>
      <c r="Y142" s="141"/>
      <c r="Z142" s="141"/>
    </row>
    <row r="143" customFormat="false" ht="15.75" hidden="false" customHeight="true" outlineLevel="0" collapsed="false">
      <c r="A143" s="139" t="s">
        <v>425</v>
      </c>
      <c r="B143" s="140" t="s">
        <v>426</v>
      </c>
      <c r="C143" s="140" t="s">
        <v>258</v>
      </c>
      <c r="D143" s="140" t="s">
        <v>283</v>
      </c>
      <c r="E143" s="140" t="s">
        <v>103</v>
      </c>
      <c r="F143" s="140" t="s">
        <v>145</v>
      </c>
      <c r="G143" s="140" t="s">
        <v>15</v>
      </c>
      <c r="H143" s="140" t="s">
        <v>22</v>
      </c>
      <c r="I143" s="141" t="s">
        <v>34</v>
      </c>
      <c r="J143" s="141"/>
      <c r="K143" s="140"/>
      <c r="L143" s="140" t="s">
        <v>427</v>
      </c>
      <c r="M143" s="140" t="s">
        <v>151</v>
      </c>
      <c r="N143" s="140" t="s">
        <v>428</v>
      </c>
      <c r="O143" s="117" t="n">
        <v>140</v>
      </c>
      <c r="P143" s="141"/>
      <c r="Q143" s="141"/>
      <c r="R143" s="141"/>
      <c r="S143" s="141"/>
      <c r="T143" s="141"/>
      <c r="U143" s="141"/>
      <c r="V143" s="141"/>
      <c r="W143" s="141"/>
      <c r="X143" s="141"/>
      <c r="Y143" s="141"/>
      <c r="Z143" s="141"/>
    </row>
    <row r="144" customFormat="false" ht="15.75" hidden="false" customHeight="true" outlineLevel="0" collapsed="false">
      <c r="A144" s="139" t="s">
        <v>425</v>
      </c>
      <c r="B144" s="140" t="s">
        <v>426</v>
      </c>
      <c r="C144" s="140" t="s">
        <v>258</v>
      </c>
      <c r="D144" s="140" t="s">
        <v>283</v>
      </c>
      <c r="E144" s="140" t="s">
        <v>148</v>
      </c>
      <c r="F144" s="140" t="s">
        <v>429</v>
      </c>
      <c r="G144" s="140" t="s">
        <v>15</v>
      </c>
      <c r="H144" s="140" t="s">
        <v>22</v>
      </c>
      <c r="I144" s="141" t="s">
        <v>53</v>
      </c>
      <c r="J144" s="141"/>
      <c r="K144" s="140"/>
      <c r="L144" s="140" t="s">
        <v>119</v>
      </c>
      <c r="M144" s="140" t="s">
        <v>430</v>
      </c>
      <c r="N144" s="140" t="s">
        <v>428</v>
      </c>
      <c r="O144" s="117" t="n">
        <v>141</v>
      </c>
      <c r="P144" s="141"/>
      <c r="Q144" s="141"/>
      <c r="R144" s="141"/>
      <c r="S144" s="141"/>
      <c r="T144" s="141"/>
      <c r="U144" s="141"/>
      <c r="V144" s="141"/>
      <c r="W144" s="141"/>
      <c r="X144" s="141"/>
      <c r="Y144" s="141"/>
      <c r="Z144" s="141"/>
    </row>
    <row r="145" customFormat="false" ht="15.75" hidden="false" customHeight="true" outlineLevel="0" collapsed="false">
      <c r="A145" s="139" t="s">
        <v>431</v>
      </c>
      <c r="B145" s="140" t="s">
        <v>432</v>
      </c>
      <c r="C145" s="140" t="s">
        <v>228</v>
      </c>
      <c r="D145" s="140" t="s">
        <v>229</v>
      </c>
      <c r="E145" s="140" t="s">
        <v>433</v>
      </c>
      <c r="F145" s="140" t="s">
        <v>434</v>
      </c>
      <c r="G145" s="140" t="s">
        <v>15</v>
      </c>
      <c r="H145" s="140" t="s">
        <v>22</v>
      </c>
      <c r="I145" s="141" t="s">
        <v>53</v>
      </c>
      <c r="J145" s="141"/>
      <c r="K145" s="141"/>
      <c r="L145" s="140" t="s">
        <v>435</v>
      </c>
      <c r="M145" s="140" t="s">
        <v>235</v>
      </c>
      <c r="N145" s="140" t="s">
        <v>436</v>
      </c>
      <c r="O145" s="117" t="n">
        <v>142</v>
      </c>
    </row>
    <row r="146" customFormat="false" ht="15.75" hidden="false" customHeight="true" outlineLevel="0" collapsed="false">
      <c r="A146" s="139" t="s">
        <v>431</v>
      </c>
      <c r="B146" s="140" t="s">
        <v>432</v>
      </c>
      <c r="C146" s="140" t="s">
        <v>228</v>
      </c>
      <c r="D146" s="140" t="s">
        <v>229</v>
      </c>
      <c r="E146" s="140" t="s">
        <v>437</v>
      </c>
      <c r="F146" s="140" t="s">
        <v>433</v>
      </c>
      <c r="G146" s="140" t="s">
        <v>15</v>
      </c>
      <c r="H146" s="140" t="s">
        <v>22</v>
      </c>
      <c r="I146" s="141" t="s">
        <v>53</v>
      </c>
      <c r="J146" s="141"/>
      <c r="K146" s="141"/>
      <c r="L146" s="140" t="s">
        <v>435</v>
      </c>
      <c r="M146" s="140" t="s">
        <v>235</v>
      </c>
      <c r="N146" s="140" t="s">
        <v>436</v>
      </c>
      <c r="O146" s="117" t="n">
        <v>143</v>
      </c>
      <c r="P146" s="141"/>
      <c r="Q146" s="141"/>
      <c r="R146" s="141"/>
      <c r="S146" s="141"/>
      <c r="T146" s="141"/>
      <c r="U146" s="141"/>
      <c r="V146" s="141"/>
      <c r="W146" s="141"/>
      <c r="X146" s="141"/>
      <c r="Y146" s="141"/>
      <c r="Z146" s="141"/>
      <c r="AA146" s="141"/>
    </row>
    <row r="147" customFormat="false" ht="15.75" hidden="false" customHeight="true" outlineLevel="0" collapsed="false">
      <c r="A147" s="139" t="s">
        <v>438</v>
      </c>
      <c r="B147" s="140" t="s">
        <v>432</v>
      </c>
      <c r="C147" s="140" t="s">
        <v>228</v>
      </c>
      <c r="D147" s="140" t="s">
        <v>229</v>
      </c>
      <c r="E147" s="140" t="s">
        <v>439</v>
      </c>
      <c r="F147" s="140" t="s">
        <v>440</v>
      </c>
      <c r="G147" s="140" t="s">
        <v>15</v>
      </c>
      <c r="H147" s="140" t="s">
        <v>22</v>
      </c>
      <c r="I147" s="141" t="s">
        <v>34</v>
      </c>
      <c r="J147" s="141"/>
      <c r="K147" s="141"/>
      <c r="L147" s="140" t="s">
        <v>441</v>
      </c>
      <c r="M147" s="140" t="s">
        <v>281</v>
      </c>
      <c r="N147" s="140" t="s">
        <v>436</v>
      </c>
      <c r="O147" s="117" t="n">
        <v>144</v>
      </c>
      <c r="P147" s="141"/>
      <c r="Q147" s="141"/>
      <c r="R147" s="141"/>
      <c r="S147" s="141"/>
      <c r="T147" s="141"/>
      <c r="U147" s="141"/>
      <c r="V147" s="141"/>
      <c r="W147" s="141"/>
      <c r="X147" s="141"/>
      <c r="Y147" s="141"/>
      <c r="Z147" s="141"/>
      <c r="AA147" s="141"/>
    </row>
    <row r="148" customFormat="false" ht="15.75" hidden="false" customHeight="true" outlineLevel="0" collapsed="false">
      <c r="A148" s="139" t="s">
        <v>438</v>
      </c>
      <c r="B148" s="140" t="s">
        <v>432</v>
      </c>
      <c r="C148" s="140" t="s">
        <v>228</v>
      </c>
      <c r="D148" s="140" t="s">
        <v>229</v>
      </c>
      <c r="E148" s="140" t="s">
        <v>276</v>
      </c>
      <c r="F148" s="140" t="s">
        <v>202</v>
      </c>
      <c r="G148" s="140" t="s">
        <v>15</v>
      </c>
      <c r="H148" s="140" t="s">
        <v>22</v>
      </c>
      <c r="I148" s="141" t="s">
        <v>53</v>
      </c>
      <c r="J148" s="141"/>
      <c r="K148" s="141"/>
      <c r="L148" s="140" t="s">
        <v>442</v>
      </c>
      <c r="M148" s="140" t="s">
        <v>204</v>
      </c>
      <c r="N148" s="140" t="s">
        <v>436</v>
      </c>
      <c r="O148" s="117" t="n">
        <v>145</v>
      </c>
      <c r="P148" s="141"/>
      <c r="Q148" s="141"/>
      <c r="R148" s="141"/>
      <c r="S148" s="141"/>
      <c r="T148" s="141"/>
      <c r="U148" s="141"/>
      <c r="V148" s="141"/>
      <c r="W148" s="141"/>
      <c r="X148" s="141"/>
      <c r="Y148" s="141"/>
      <c r="Z148" s="141"/>
      <c r="AA148" s="141"/>
    </row>
    <row r="149" customFormat="false" ht="15.75" hidden="false" customHeight="true" outlineLevel="0" collapsed="false">
      <c r="A149" s="139" t="s">
        <v>438</v>
      </c>
      <c r="B149" s="140" t="s">
        <v>432</v>
      </c>
      <c r="C149" s="140" t="s">
        <v>228</v>
      </c>
      <c r="D149" s="140" t="s">
        <v>229</v>
      </c>
      <c r="E149" s="140" t="s">
        <v>443</v>
      </c>
      <c r="F149" s="140" t="s">
        <v>444</v>
      </c>
      <c r="G149" s="140" t="s">
        <v>15</v>
      </c>
      <c r="H149" s="140" t="s">
        <v>22</v>
      </c>
      <c r="I149" s="141" t="s">
        <v>34</v>
      </c>
      <c r="J149" s="141"/>
      <c r="K149" s="141"/>
      <c r="L149" s="140" t="s">
        <v>441</v>
      </c>
      <c r="M149" s="140" t="s">
        <v>281</v>
      </c>
      <c r="N149" s="140" t="s">
        <v>436</v>
      </c>
      <c r="O149" s="117" t="n">
        <v>146</v>
      </c>
      <c r="P149" s="141"/>
      <c r="Q149" s="141"/>
      <c r="R149" s="141"/>
      <c r="S149" s="141"/>
      <c r="T149" s="141"/>
      <c r="U149" s="141"/>
      <c r="V149" s="141"/>
      <c r="W149" s="141"/>
      <c r="X149" s="141"/>
      <c r="Y149" s="141"/>
      <c r="Z149" s="141"/>
      <c r="AA149" s="141"/>
    </row>
    <row r="150" customFormat="false" ht="15.75" hidden="false" customHeight="true" outlineLevel="0" collapsed="false">
      <c r="A150" s="139" t="s">
        <v>438</v>
      </c>
      <c r="B150" s="140" t="s">
        <v>432</v>
      </c>
      <c r="C150" s="140" t="s">
        <v>228</v>
      </c>
      <c r="D150" s="140" t="s">
        <v>229</v>
      </c>
      <c r="E150" s="140" t="s">
        <v>445</v>
      </c>
      <c r="F150" s="140" t="s">
        <v>446</v>
      </c>
      <c r="G150" s="140" t="s">
        <v>15</v>
      </c>
      <c r="H150" s="140" t="s">
        <v>22</v>
      </c>
      <c r="I150" s="141" t="s">
        <v>53</v>
      </c>
      <c r="J150" s="141"/>
      <c r="K150" s="141"/>
      <c r="L150" s="140" t="s">
        <v>442</v>
      </c>
      <c r="M150" s="140" t="s">
        <v>204</v>
      </c>
      <c r="N150" s="140" t="s">
        <v>436</v>
      </c>
      <c r="O150" s="117" t="n">
        <v>147</v>
      </c>
      <c r="P150" s="141"/>
      <c r="Q150" s="141"/>
      <c r="R150" s="141"/>
      <c r="S150" s="141"/>
      <c r="T150" s="141"/>
      <c r="U150" s="141"/>
      <c r="V150" s="141"/>
      <c r="W150" s="141"/>
      <c r="X150" s="141"/>
      <c r="Y150" s="141"/>
      <c r="Z150" s="141"/>
      <c r="AA150" s="141"/>
    </row>
    <row r="151" customFormat="false" ht="15.75" hidden="false" customHeight="true" outlineLevel="0" collapsed="false">
      <c r="A151" s="139" t="s">
        <v>447</v>
      </c>
      <c r="B151" s="140" t="s">
        <v>432</v>
      </c>
      <c r="C151" s="140" t="s">
        <v>228</v>
      </c>
      <c r="D151" s="140" t="s">
        <v>229</v>
      </c>
      <c r="E151" s="140" t="s">
        <v>207</v>
      </c>
      <c r="F151" s="140" t="s">
        <v>443</v>
      </c>
      <c r="G151" s="140" t="s">
        <v>15</v>
      </c>
      <c r="H151" s="140" t="s">
        <v>22</v>
      </c>
      <c r="I151" s="141" t="s">
        <v>34</v>
      </c>
      <c r="J151" s="141"/>
      <c r="K151" s="141"/>
      <c r="L151" s="140" t="s">
        <v>441</v>
      </c>
      <c r="M151" s="140" t="s">
        <v>281</v>
      </c>
      <c r="N151" s="140" t="s">
        <v>436</v>
      </c>
      <c r="O151" s="117" t="n">
        <v>148</v>
      </c>
      <c r="P151" s="141"/>
      <c r="Q151" s="141"/>
      <c r="R151" s="141"/>
      <c r="S151" s="141"/>
      <c r="T151" s="141"/>
      <c r="U151" s="141"/>
      <c r="V151" s="141"/>
      <c r="W151" s="141"/>
      <c r="X151" s="141"/>
      <c r="Y151" s="141"/>
      <c r="Z151" s="141"/>
      <c r="AA151" s="141"/>
    </row>
    <row r="152" customFormat="false" ht="15.75" hidden="false" customHeight="true" outlineLevel="0" collapsed="false">
      <c r="A152" s="139" t="s">
        <v>447</v>
      </c>
      <c r="B152" s="140" t="s">
        <v>432</v>
      </c>
      <c r="C152" s="140" t="s">
        <v>228</v>
      </c>
      <c r="D152" s="140" t="s">
        <v>229</v>
      </c>
      <c r="E152" s="140" t="s">
        <v>445</v>
      </c>
      <c r="F152" s="140" t="s">
        <v>448</v>
      </c>
      <c r="G152" s="140" t="s">
        <v>15</v>
      </c>
      <c r="H152" s="140" t="s">
        <v>22</v>
      </c>
      <c r="I152" s="141" t="s">
        <v>53</v>
      </c>
      <c r="J152" s="141"/>
      <c r="K152" s="141"/>
      <c r="L152" s="140" t="s">
        <v>442</v>
      </c>
      <c r="M152" s="140" t="s">
        <v>204</v>
      </c>
      <c r="N152" s="140" t="s">
        <v>436</v>
      </c>
      <c r="O152" s="117" t="n">
        <v>149</v>
      </c>
      <c r="P152" s="141"/>
      <c r="Q152" s="141"/>
      <c r="R152" s="141"/>
      <c r="S152" s="141"/>
      <c r="T152" s="141"/>
      <c r="U152" s="141"/>
      <c r="V152" s="141"/>
      <c r="W152" s="141"/>
      <c r="X152" s="141"/>
      <c r="Y152" s="141"/>
      <c r="Z152" s="141"/>
      <c r="AA152" s="141"/>
    </row>
    <row r="153" customFormat="false" ht="15.75" hidden="false" customHeight="true" outlineLevel="0" collapsed="false">
      <c r="A153" s="139" t="s">
        <v>447</v>
      </c>
      <c r="B153" s="140" t="s">
        <v>432</v>
      </c>
      <c r="C153" s="140" t="s">
        <v>228</v>
      </c>
      <c r="D153" s="140" t="s">
        <v>229</v>
      </c>
      <c r="E153" s="140" t="s">
        <v>437</v>
      </c>
      <c r="F153" s="140" t="s">
        <v>449</v>
      </c>
      <c r="G153" s="140" t="s">
        <v>15</v>
      </c>
      <c r="H153" s="140" t="s">
        <v>22</v>
      </c>
      <c r="I153" s="141" t="s">
        <v>34</v>
      </c>
      <c r="J153" s="141"/>
      <c r="K153" s="141"/>
      <c r="L153" s="140" t="s">
        <v>441</v>
      </c>
      <c r="M153" s="140" t="s">
        <v>281</v>
      </c>
      <c r="N153" s="140" t="s">
        <v>436</v>
      </c>
      <c r="O153" s="117" t="n">
        <v>150</v>
      </c>
      <c r="P153" s="141"/>
      <c r="Q153" s="141"/>
      <c r="R153" s="141"/>
      <c r="S153" s="141"/>
      <c r="T153" s="141"/>
      <c r="U153" s="141"/>
      <c r="V153" s="141"/>
      <c r="W153" s="141"/>
      <c r="X153" s="141"/>
      <c r="Y153" s="141"/>
      <c r="Z153" s="141"/>
      <c r="AA153" s="141"/>
    </row>
    <row r="154" customFormat="false" ht="15.75" hidden="false" customHeight="true" outlineLevel="0" collapsed="false">
      <c r="A154" s="140"/>
      <c r="B154" s="1"/>
      <c r="C154" s="1"/>
      <c r="D154" s="1"/>
      <c r="E154" s="1"/>
      <c r="F154" s="1"/>
      <c r="G154" s="1"/>
      <c r="H154" s="1"/>
      <c r="J154" s="1"/>
      <c r="K154" s="1"/>
      <c r="L154" s="1"/>
      <c r="M154" s="1"/>
      <c r="N154" s="1"/>
      <c r="O154" s="1"/>
      <c r="P154" s="141"/>
      <c r="Q154" s="141"/>
      <c r="R154" s="141"/>
      <c r="S154" s="141"/>
      <c r="T154" s="141"/>
      <c r="U154" s="141"/>
      <c r="V154" s="141"/>
      <c r="W154" s="141"/>
      <c r="X154" s="141"/>
      <c r="Y154" s="141"/>
      <c r="Z154" s="141"/>
      <c r="AA154" s="141"/>
    </row>
  </sheetData>
  <autoFilter ref="G1:K116"/>
  <mergeCells count="6">
    <mergeCell ref="B1:F1"/>
    <mergeCell ref="L1:N1"/>
    <mergeCell ref="D2:F2"/>
    <mergeCell ref="L2:L3"/>
    <mergeCell ref="M2:M3"/>
    <mergeCell ref="N2:N3"/>
  </mergeCells>
  <dataValidations count="4">
    <dataValidation allowBlank="true" errorStyle="stop" operator="equal" prompt="You must use the association abbreviations as listed in the Instructions." showDropDown="false" showErrorMessage="true" showInputMessage="true" sqref="G4:G26 G37" type="list">
      <formula1>Instructions!$A$55:$A$56</formula1>
      <formula2>0</formula2>
    </dataValidation>
    <dataValidation allowBlank="true" errorStyle="stop" operator="equal" prompt="You must use the game types as listed in the Instructions." showDropDown="false" showErrorMessage="true" showInputMessage="true" sqref="H4:H26 H37" type="list">
      <formula1>Instructions!$A$60:$A$64</formula1>
      <formula2>0</formula2>
    </dataValidation>
    <dataValidation allowBlank="true" errorStyle="stop" operator="equal" prompt="You must use the positional abbreviations as listed in the Instructions." showDropDown="false" showErrorMessage="true" showInputMessage="true" sqref="J4:J26 J37" type="list">
      <formula1>Instructions!$A$74:$A$86</formula1>
      <formula2>0</formula2>
    </dataValidation>
    <dataValidation allowBlank="true" errorStyle="stop" operator="equal" prompt="Enter Y if you used association-endorsed software. Otherwise leave this cell blank." showDropDown="false" showErrorMessage="true" showInputMessage="true" sqref="K4:K26 K37" type="list">
      <formula1>Instructions!$K$45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10" activeCellId="0" sqref="D10"/>
    </sheetView>
  </sheetViews>
  <sheetFormatPr defaultColWidth="11.53515625" defaultRowHeight="15.75" customHeight="true" zeroHeight="false" outlineLevelRow="0" outlineLevelCol="0"/>
  <cols>
    <col collapsed="false" customWidth="true" hidden="false" outlineLevel="0" max="1" min="1" style="1" width="7.88"/>
    <col collapsed="false" customWidth="true" hidden="false" outlineLevel="0" max="2" min="2" style="1" width="6.25"/>
    <col collapsed="false" customWidth="true" hidden="false" outlineLevel="0" max="3" min="3" style="1" width="4.88"/>
    <col collapsed="false" customWidth="true" hidden="false" outlineLevel="0" max="4" min="4" style="1" width="4.38"/>
    <col collapsed="false" customWidth="true" hidden="false" outlineLevel="0" max="5" min="5" style="1" width="4.63"/>
    <col collapsed="false" customWidth="true" hidden="false" outlineLevel="0" max="6" min="6" style="1" width="7.5"/>
    <col collapsed="false" customWidth="true" hidden="false" outlineLevel="0" max="7" min="7" style="1" width="6.51"/>
    <col collapsed="false" customWidth="true" hidden="false" outlineLevel="0" max="8" min="8" style="1" width="10.89"/>
    <col collapsed="false" customWidth="true" hidden="false" outlineLevel="0" max="9" min="9" style="1" width="6.39"/>
    <col collapsed="false" customWidth="true" hidden="false" outlineLevel="0" max="10" min="10" style="1" width="4.88"/>
    <col collapsed="false" customWidth="true" hidden="false" outlineLevel="0" max="11" min="11" style="1" width="4.38"/>
    <col collapsed="false" customWidth="true" hidden="false" outlineLevel="0" max="12" min="12" style="1" width="5.13"/>
    <col collapsed="false" customWidth="true" hidden="false" outlineLevel="0" max="13" min="13" style="1" width="7.39"/>
    <col collapsed="false" customWidth="true" hidden="false" outlineLevel="0" max="14" min="14" style="1" width="4.76"/>
    <col collapsed="false" customWidth="true" hidden="false" outlineLevel="0" max="15" min="15" style="1" width="7.5"/>
    <col collapsed="false" customWidth="true" hidden="false" outlineLevel="0" max="16" min="16" style="1" width="9.39"/>
    <col collapsed="false" customWidth="true" hidden="false" outlineLevel="0" max="17" min="17" style="1" width="5.39"/>
    <col collapsed="false" customWidth="true" hidden="false" outlineLevel="0" max="18" min="18" style="1" width="10.01"/>
    <col collapsed="false" customWidth="true" hidden="false" outlineLevel="0" max="1024" min="19" style="1" width="12.64"/>
  </cols>
  <sheetData>
    <row r="1" customFormat="false" ht="38.6" hidden="false" customHeight="false" outlineLevel="0" collapsed="false">
      <c r="A1" s="146" t="s">
        <v>450</v>
      </c>
      <c r="B1" s="146"/>
      <c r="C1" s="146"/>
      <c r="D1" s="146"/>
      <c r="E1" s="146"/>
      <c r="F1" s="146"/>
      <c r="G1" s="146"/>
      <c r="H1" s="146"/>
      <c r="I1" s="146"/>
      <c r="J1" s="146"/>
      <c r="K1" s="146"/>
      <c r="L1" s="146"/>
      <c r="M1" s="146"/>
      <c r="N1" s="147"/>
      <c r="O1" s="147"/>
      <c r="P1" s="147"/>
      <c r="Q1" s="147"/>
      <c r="R1" s="147"/>
      <c r="S1" s="147"/>
      <c r="T1" s="147"/>
    </row>
    <row r="2" customFormat="false" ht="15.75" hidden="false" customHeight="false" outlineLevel="0" collapsed="false">
      <c r="A2" s="148" t="s">
        <v>451</v>
      </c>
      <c r="B2" s="148"/>
      <c r="C2" s="148"/>
      <c r="D2" s="148"/>
      <c r="E2" s="148"/>
      <c r="F2" s="148"/>
      <c r="G2" s="148"/>
      <c r="H2" s="148"/>
      <c r="I2" s="148"/>
      <c r="J2" s="148"/>
      <c r="K2" s="148"/>
      <c r="L2" s="148"/>
      <c r="M2" s="148"/>
      <c r="N2" s="147"/>
      <c r="O2" s="147"/>
      <c r="P2" s="147"/>
      <c r="Q2" s="147"/>
      <c r="R2" s="147"/>
      <c r="S2" s="147"/>
      <c r="T2" s="147"/>
    </row>
    <row r="3" customFormat="false" ht="15.75" hidden="false" customHeight="false" outlineLevel="0" collapsed="false">
      <c r="A3" s="149"/>
      <c r="B3" s="149"/>
      <c r="C3" s="149"/>
      <c r="D3" s="149"/>
      <c r="E3" s="149"/>
      <c r="F3" s="150"/>
      <c r="G3" s="150"/>
      <c r="H3" s="149"/>
      <c r="I3" s="149"/>
      <c r="J3" s="149"/>
      <c r="K3" s="149"/>
      <c r="L3" s="149"/>
      <c r="M3" s="150"/>
      <c r="N3" s="147"/>
      <c r="O3" s="147"/>
      <c r="P3" s="147"/>
      <c r="Q3" s="147"/>
      <c r="R3" s="147"/>
      <c r="S3" s="147"/>
      <c r="T3" s="147"/>
    </row>
    <row r="4" customFormat="false" ht="15.75" hidden="false" customHeight="false" outlineLevel="0" collapsed="false">
      <c r="A4" s="151" t="s">
        <v>452</v>
      </c>
      <c r="B4" s="84" t="s">
        <v>20</v>
      </c>
      <c r="C4" s="84" t="s">
        <v>21</v>
      </c>
      <c r="D4" s="84" t="s">
        <v>22</v>
      </c>
      <c r="E4" s="84" t="s">
        <v>453</v>
      </c>
      <c r="F4" s="147"/>
      <c r="G4" s="152"/>
      <c r="H4" s="153" t="s">
        <v>454</v>
      </c>
      <c r="I4" s="154" t="s">
        <v>20</v>
      </c>
      <c r="J4" s="154" t="s">
        <v>21</v>
      </c>
      <c r="K4" s="154" t="s">
        <v>22</v>
      </c>
      <c r="L4" s="155" t="s">
        <v>453</v>
      </c>
      <c r="M4" s="11"/>
      <c r="N4" s="147"/>
      <c r="O4" s="147"/>
      <c r="P4" s="147"/>
      <c r="Q4" s="147"/>
      <c r="R4" s="147"/>
      <c r="S4" s="147"/>
      <c r="T4" s="147"/>
    </row>
    <row r="5" customFormat="false" ht="15.75" hidden="false" customHeight="false" outlineLevel="0" collapsed="false">
      <c r="A5" s="98" t="s">
        <v>51</v>
      </c>
      <c r="B5" s="156" t="n">
        <f aca="true">COUNTIFS('Game History'!A:A,("&gt;"&amp;(TODAY()-365)),'Game History'!G:G,"WFTDA",'Game History'!H:H,"Champs",'Game History'!I:I,Instructions!A68)+COUNTIFS('Game History'!A:A,("&gt;"&amp;(TODAY()-365)),'Game History'!G:G,"WFTDA",'Game History'!H:H,"Playoff",'Game History'!I:I,Instructions!A68)</f>
        <v>0</v>
      </c>
      <c r="C5" s="156" t="n">
        <f aca="true">COUNTIFS('Game History'!A:A,("&gt;"&amp;(TODAY()-365)),'Game History'!G:G,"WFTDA",'Game History'!H:H,"Sanc",'Game History'!I:I,Instructions!A68)</f>
        <v>0</v>
      </c>
      <c r="D5" s="156" t="n">
        <f aca="true">COUNTIFS('Game History'!A:A,("&gt;"&amp;(TODAY()-365)),'Game History'!G:G,"WFTDA",'Game History'!H:H,"Reg",'Game History'!I:I,Instructions!A68)</f>
        <v>0</v>
      </c>
      <c r="E5" s="157" t="n">
        <f aca="false">SUM(B5,C5,D5)</f>
        <v>0</v>
      </c>
      <c r="F5" s="147"/>
      <c r="G5" s="152"/>
      <c r="H5" s="158" t="s">
        <v>51</v>
      </c>
      <c r="I5" s="156" t="n">
        <f aca="true">COUNTIFS('Game History'!A:A,("&gt;"&amp;(TODAY()-548)),'Game History'!G:G,"WFTDA",'Game History'!H:H,"Champs",'Game History'!I:I,Instructions!A68)+COUNTIFS('Game History'!A:A,("&gt;"&amp;(TODAY()-548)),'Game History'!G:G,"WFTDA",'Game History'!H:H,"Playoff",'Game History'!I:I,Instructions!A68)</f>
        <v>0</v>
      </c>
      <c r="J5" s="156" t="n">
        <f aca="true">COUNTIFS('Game History'!A:A,("&gt;"&amp;(TODAY()-548)),'Game History'!G:G,"WFTDA",'Game History'!H:H,"Sanc",'Game History'!I:I,Instructions!A68)</f>
        <v>0</v>
      </c>
      <c r="K5" s="156" t="n">
        <f aca="true">COUNTIFS('Game History'!A:A,("&gt;"&amp;(TODAY()-548)),'Game History'!G:G,"WFTDA",'Game History'!H:H,"Reg",'Game History'!I:I,Instructions!A68)</f>
        <v>0</v>
      </c>
      <c r="L5" s="157" t="n">
        <f aca="false">SUM(I5,J5,K5)</f>
        <v>0</v>
      </c>
      <c r="M5" s="147"/>
      <c r="N5" s="147"/>
      <c r="O5" s="147"/>
      <c r="P5" s="147"/>
      <c r="Q5" s="147"/>
      <c r="R5" s="147"/>
      <c r="S5" s="147"/>
      <c r="T5" s="147"/>
    </row>
    <row r="6" customFormat="false" ht="15.75" hidden="false" customHeight="false" outlineLevel="0" collapsed="false">
      <c r="A6" s="98" t="s">
        <v>55</v>
      </c>
      <c r="B6" s="156" t="n">
        <f aca="true">COUNTIFS('Game History'!A:A,("&gt;"&amp;(TODAY()-365)),'Game History'!G:G,"WFTDA",'Game History'!H:H,"Champs",'Game History'!I:I,Instructions!A69)+COUNTIFS('Game History'!A:A,("&gt;"&amp;(TODAY()-365)),'Game History'!G:G,"WFTDA",'Game History'!H:H,"Playoff",'Game History'!I:I,Instructions!A69)+COUNTIFS('Game History'!A:A,("&gt;"&amp;(TODAY()-365)),'Game History'!G:G,"WFTDA",'Game History'!H:H,"Champs",'Game History'!I:I,Instructions!A70)+COUNTIFS('Game History'!A:A,("&gt;"&amp;(TODAY()-365)),'Game History'!G:G,"WFTDA",'Game History'!H:H,"Playoff",'Game History'!I:I,Instructions!A70)</f>
        <v>0</v>
      </c>
      <c r="C6" s="156" t="n">
        <f aca="true">COUNTIFS('Game History'!A:A,("&gt;"&amp;(TODAY()-365)),'Game History'!G:G,"WFTDA",'Game History'!H:H,"Sanc",'Game History'!I:I,Instructions!A69)</f>
        <v>0</v>
      </c>
      <c r="D6" s="156" t="n">
        <f aca="true">COUNTIFS('Game History'!A:A,("&gt;"&amp;(TODAY()-365)),'Game History'!G:G,"WFTDA",'Game History'!H:H,"Reg",'Game History'!I:I,Instructions!A69)</f>
        <v>0</v>
      </c>
      <c r="E6" s="157" t="n">
        <f aca="false">SUM(B6,C6,D6)</f>
        <v>0</v>
      </c>
      <c r="F6" s="147"/>
      <c r="G6" s="152"/>
      <c r="H6" s="158" t="s">
        <v>55</v>
      </c>
      <c r="I6" s="156" t="n">
        <f aca="true">COUNTIFS('Game History'!A:A,("&gt;"&amp;(TODAY()-548)),'Game History'!G:G,"WFTDA",'Game History'!H:H,"Champs",'Game History'!I:I,Instructions!A69)+COUNTIFS('Game History'!A:A,("&gt;"&amp;(TODAY()-548)),'Game History'!G:G,"WFTDA",'Game History'!H:H,"Playoff",'Game History'!I:I,Instructions!A69)+COUNTIFS('Game History'!A:A,("&gt;"&amp;(TODAY()-548)),'Game History'!G:G,"WFTDA",'Game History'!H:H,"Champs",'Game History'!I:I,Instructions!A70)+COUNTIFS('Game History'!A:A,("&gt;"&amp;(TODAY()-548)),'Game History'!G:G,"WFTDA",'Game History'!H:H,"Playoff",'Game History'!I:I,Instructions!A70)</f>
        <v>0</v>
      </c>
      <c r="J6" s="156" t="n">
        <f aca="true">COUNTIFS('Game History'!A:A,("&gt;"&amp;(TODAY()-548)),'Game History'!G:G,"WFTDA",'Game History'!H:H,"Sanc",'Game History'!I:I,Instructions!A69)</f>
        <v>0</v>
      </c>
      <c r="K6" s="156" t="n">
        <f aca="true">COUNTIFS('Game History'!A:A,("&gt;"&amp;(TODAY()-548)),'Game History'!G:G,"WFTDA",'Game History'!H:H,"Reg",'Game History'!I:I,Instructions!A69)</f>
        <v>0</v>
      </c>
      <c r="L6" s="157" t="n">
        <f aca="false">SUM(I6,J6,K6)</f>
        <v>0</v>
      </c>
      <c r="M6" s="147"/>
      <c r="N6" s="147"/>
      <c r="O6" s="147"/>
      <c r="P6" s="147"/>
      <c r="Q6" s="147"/>
      <c r="R6" s="147"/>
      <c r="S6" s="147"/>
      <c r="T6" s="147"/>
    </row>
    <row r="7" customFormat="false" ht="15.75" hidden="false" customHeight="false" outlineLevel="0" collapsed="false">
      <c r="A7" s="98" t="s">
        <v>25</v>
      </c>
      <c r="B7" s="82" t="s">
        <v>26</v>
      </c>
      <c r="C7" s="156" t="n">
        <f aca="true">COUNTIFS('Game History'!A:A,("&gt;"&amp;(TODAY()-365)),'Game History'!G:G,"WFTDA",'Game History'!H:H,"Sanc",'Game History'!I:I,Instructions!A70)</f>
        <v>0</v>
      </c>
      <c r="D7" s="156" t="n">
        <f aca="true">COUNTIFS('Game History'!A:A,("&gt;"&amp;(TODAY()-365)),'Game History'!G:G,"WFTDA",'Game History'!H:H,"Reg",'Game History'!I:I,Instructions!A70)</f>
        <v>0</v>
      </c>
      <c r="E7" s="157" t="n">
        <f aca="false">SUM(C7+D7)</f>
        <v>0</v>
      </c>
      <c r="F7" s="147"/>
      <c r="G7" s="152"/>
      <c r="H7" s="158" t="s">
        <v>25</v>
      </c>
      <c r="I7" s="82" t="s">
        <v>26</v>
      </c>
      <c r="J7" s="156" t="n">
        <f aca="true">COUNTIFS('Game History'!A:A,("&gt;"&amp;(TODAY()-548)),'Game History'!G:G,"WFTDA",'Game History'!H:H,"Sanc",'Game History'!I:I,Instructions!A70)</f>
        <v>0</v>
      </c>
      <c r="K7" s="156" t="n">
        <f aca="true">COUNTIFS('Game History'!A:A,("&gt;"&amp;(TODAY()-548)),'Game History'!G:G,"WFTDA",'Game History'!H:H,"Reg",'Game History'!I:I,Instructions!A70)</f>
        <v>0</v>
      </c>
      <c r="L7" s="157" t="n">
        <f aca="false">SUM(J7+K7)</f>
        <v>0</v>
      </c>
      <c r="M7" s="147"/>
      <c r="N7" s="147"/>
      <c r="O7" s="147"/>
      <c r="P7" s="147"/>
      <c r="Q7" s="147"/>
      <c r="R7" s="147"/>
      <c r="S7" s="147"/>
      <c r="T7" s="147"/>
    </row>
    <row r="8" customFormat="false" ht="15.75" hidden="false" customHeight="false" outlineLevel="0" collapsed="false">
      <c r="A8" s="98" t="s">
        <v>30</v>
      </c>
      <c r="B8" s="156" t="n">
        <f aca="true">COUNTIFS('Game History'!A:A,("&gt;"&amp;(TODAY()-365)),'Game History'!G:G,"WFTDA",'Game History'!H:H,"Champs",'Game History'!I:I,Instructions!A74)+COUNTIFS('Game History'!A:A,("&gt;"&amp;(TODAY()-365)),'Game History'!G:G,"WFTDA",'Game History'!H:H,"Playoff",'Game History'!I:I,Instructions!A74)+COUNTIFS('Game History'!A:A,("&gt;"&amp;(TODAY()-365)),'Game History'!G:G,"WFTDA",'Game History'!H:H,"Champs",'Game History'!J:J,Instructions!A74)+COUNTIFS('Game History'!A:A,("&gt;"&amp;(TODAY()-365)),'Game History'!G:G,"WFTDA",'Game History'!H:H,"Playoff",'Game History'!J:J,Instructions!A74)</f>
        <v>0</v>
      </c>
      <c r="C8" s="156" t="n">
        <f aca="true">COUNTIFS('Game History'!A:A,("&gt;"&amp;(TODAY()-365)),'Game History'!G:G,"WFTDA",'Game History'!H:H,"Sanc",'Game History'!I:I,Instructions!A74)+COUNTIFS('Game History'!A:A,("&gt;"&amp;(TODAY()-365)),'Game History'!G:G,"WFTDA",'Game History'!H:H,"Sanc",'Game History'!J:J,Instructions!A74)</f>
        <v>0</v>
      </c>
      <c r="D8" s="156" t="n">
        <f aca="true">COUNTIFS('Game History'!A:A,("&gt;"&amp;(TODAY()-365)),'Game History'!G:G,"WFTDA",'Game History'!H:H,"Reg",'Game History'!I:I,Instructions!A74)+COUNTIFS('Game History'!A:A,("&gt;"&amp;(TODAY()-365)),'Game History'!G:G,"WFTDA",'Game History'!H:H,"Reg",'Game History'!J:J,Instructions!A74)</f>
        <v>2</v>
      </c>
      <c r="E8" s="157" t="n">
        <f aca="false">SUM(B8,C8,D8)</f>
        <v>2</v>
      </c>
      <c r="F8" s="12"/>
      <c r="G8" s="152"/>
      <c r="H8" s="158" t="s">
        <v>30</v>
      </c>
      <c r="I8" s="156" t="n">
        <f aca="true">COUNTIFS('Game History'!A:A,("&gt;"&amp;(TODAY()-548)),'Game History'!G:G,"WFTDA",'Game History'!H:H,"Champs",'Game History'!I:I,Instructions!A74)+COUNTIFS('Game History'!A:A,("&gt;"&amp;(TODAY()-548)),'Game History'!G:G,"WFTDA",'Game History'!H:H,"Playoff",'Game History'!I:I,Instructions!A74)+COUNTIFS('Game History'!A:A,("&gt;"&amp;(TODAY()-548)),'Game History'!G:G,"WFTDA",'Game History'!H:H,"Champs",'Game History'!J:J,Instructions!A74)+COUNTIFS('Game History'!A:A,("&gt;"&amp;(TODAY()-548)),'Game History'!G:G,"WFTDA",'Game History'!H:H,"Playoff",'Game History'!J:J,Instructions!A74)</f>
        <v>0</v>
      </c>
      <c r="J8" s="156" t="n">
        <f aca="true">COUNTIFS('Game History'!A:A,("&gt;"&amp;(TODAY()-548)),'Game History'!G:G,"WFTDA",'Game History'!H:H,"Sanc",'Game History'!I:I,Instructions!A74)+COUNTIFS('Game History'!A:A,("&gt;"&amp;(TODAY()-548)),'Game History'!G:G,"WFTDA",'Game History'!H:H,"Sanc",'Game History'!J:J,Instructions!A74)</f>
        <v>0</v>
      </c>
      <c r="K8" s="156" t="n">
        <f aca="true">COUNTIFS('Game History'!A:A,("&gt;"&amp;(TODAY()-548)),'Game History'!G:G,"WFTDA",'Game History'!H:H,"Reg",'Game History'!I:I,Instructions!A74)+COUNTIFS('Game History'!A:A,("&gt;"&amp;(TODAY()-548)),'Game History'!G:G,"WFTDA",'Game History'!H:H,"Reg",'Game History'!J:J,Instructions!A74)</f>
        <v>2</v>
      </c>
      <c r="L8" s="157" t="n">
        <f aca="false">SUM(I8,J8,K8)</f>
        <v>2</v>
      </c>
      <c r="M8" s="12"/>
      <c r="N8" s="147"/>
      <c r="O8" s="147"/>
      <c r="P8" s="147"/>
      <c r="Q8" s="147"/>
      <c r="R8" s="147"/>
      <c r="S8" s="147"/>
      <c r="T8" s="147"/>
    </row>
    <row r="9" customFormat="false" ht="15.75" hidden="false" customHeight="false" outlineLevel="0" collapsed="false">
      <c r="A9" s="98" t="s">
        <v>34</v>
      </c>
      <c r="B9" s="156" t="n">
        <f aca="true">COUNTIFS('Game History'!A:A,("&gt;"&amp;(TODAY()-365)),'Game History'!G:G,"WFTDA",'Game History'!H:H,"Champs",'Game History'!I:I,Instructions!A75)+COUNTIFS('Game History'!A:A,("&gt;"&amp;(TODAY()-365)),'Game History'!G:G,"WFTDA",'Game History'!H:H,"Playoff",'Game History'!I:I,Instructions!A75)+COUNTIFS('Game History'!A:A,("&gt;"&amp;(TODAY()-365)),'Game History'!G:G,"WFTDA",'Game History'!H:H,"Champs",'Game History'!J:J,Instructions!A75)+COUNTIFS('Game History'!A:A,("&gt;"&amp;(TODAY()-365)),'Game History'!G:G,"WFTDA",'Game History'!H:H,"Playoff",'Game History'!J:J,Instructions!A75)</f>
        <v>0</v>
      </c>
      <c r="C9" s="156" t="n">
        <f aca="true">COUNTIFS('Game History'!A:A,("&gt;"&amp;(TODAY()-365)),'Game History'!G:G,"WFTDA",'Game History'!H:H,"Sanc",'Game History'!I:I,Instructions!A75)+COUNTIFS('Game History'!A:A,("&gt;"&amp;(TODAY()-365)),'Game History'!G:G,"WFTDA",'Game History'!H:H,"Sanc",'Game History'!J:J,Instructions!A75)</f>
        <v>0</v>
      </c>
      <c r="D9" s="156" t="n">
        <f aca="true">COUNTIFS('Game History'!A:A,("&gt;"&amp;(TODAY()-365)),'Game History'!G:G,"WFTDA",'Game History'!H:H,"Reg",'Game History'!I:I,Instructions!A75)+COUNTIFS('Game History'!A:A,("&gt;"&amp;(TODAY()-365)),'Game History'!G:G,"WFTDA",'Game History'!H:H,"Reg",'Game History'!J:J,Instructions!A75)</f>
        <v>1</v>
      </c>
      <c r="E9" s="157" t="n">
        <f aca="false">SUM(B9,C9,D9)</f>
        <v>1</v>
      </c>
      <c r="F9" s="12"/>
      <c r="G9" s="152"/>
      <c r="H9" s="158" t="s">
        <v>34</v>
      </c>
      <c r="I9" s="156" t="n">
        <f aca="true">COUNTIFS('Game History'!A:A,("&gt;"&amp;(TODAY()-548)),'Game History'!G:G,"WFTDA",'Game History'!H:H,"Champs",'Game History'!I:I,Instructions!A75)+COUNTIFS('Game History'!A:A,("&gt;"&amp;(TODAY()-548)),'Game History'!G:G,"WFTDA",'Game History'!H:H,"Playoff",'Game History'!I:I,Instructions!A75)+COUNTIFS('Game History'!A:A,("&gt;"&amp;(TODAY()-548)),'Game History'!G:G,"WFTDA",'Game History'!H:H,"Champs",'Game History'!J:J,Instructions!A75)+COUNTIFS('Game History'!A:A,("&gt;"&amp;(TODAY()-548)),'Game History'!G:G,"WFTDA",'Game History'!H:H,"Playoff",'Game History'!J:J,Instructions!A75)</f>
        <v>0</v>
      </c>
      <c r="J9" s="156" t="n">
        <f aca="true">COUNTIFS('Game History'!A:A,("&gt;"&amp;(TODAY()-548)),'Game History'!G:G,"WFTDA",'Game History'!H:H,"Sanc",'Game History'!I:I,Instructions!A75)+COUNTIFS('Game History'!A:A,("&gt;"&amp;(TODAY()-548)),'Game History'!G:G,"WFTDA",'Game History'!H:H,"Sanc",'Game History'!J:J,Instructions!A75)</f>
        <v>0</v>
      </c>
      <c r="K9" s="156" t="n">
        <f aca="true">COUNTIFS('Game History'!A:A,("&gt;"&amp;(TODAY()-548)),'Game History'!G:G,"WFTDA",'Game History'!H:H,"Reg",'Game History'!I:I,Instructions!A75)+COUNTIFS('Game History'!A:A,("&gt;"&amp;(TODAY()-548)),'Game History'!G:G,"WFTDA",'Game History'!H:H,"Reg",'Game History'!J:J,Instructions!A75)</f>
        <v>1</v>
      </c>
      <c r="L9" s="157" t="n">
        <f aca="false">SUM(I9,J9,K9)</f>
        <v>1</v>
      </c>
      <c r="M9" s="12"/>
      <c r="N9" s="147"/>
      <c r="O9" s="147"/>
      <c r="P9" s="147"/>
      <c r="Q9" s="147"/>
      <c r="R9" s="147"/>
      <c r="S9" s="147"/>
      <c r="T9" s="147"/>
    </row>
    <row r="10" customFormat="false" ht="15.75" hidden="false" customHeight="false" outlineLevel="0" collapsed="false">
      <c r="A10" s="98" t="s">
        <v>38</v>
      </c>
      <c r="B10" s="156" t="n">
        <f aca="true">COUNTIFS('Game History'!A:A,("&gt;"&amp;(TODAY()-365)),'Game History'!G:G,"WFTDA",'Game History'!H:H,"Champs",'Game History'!I:I,Instructions!A76)+COUNTIFS('Game History'!A:A,("&gt;"&amp;(TODAY()-365)),'Game History'!G:G,"WFTDA",'Game History'!H:H,"Playoff",'Game History'!I:I,Instructions!A76)+COUNTIFS('Game History'!A:A,("&gt;"&amp;(TODAY()-365)),'Game History'!G:G,"WFTDA",'Game History'!H:H,"Champs",'Game History'!J:J,Instructions!A76)+COUNTIFS('Game History'!A:A,("&gt;"&amp;(TODAY()-365)),'Game History'!G:G,"WFTDA",'Game History'!H:H,"Playoff",'Game History'!J:J,Instructions!A76)</f>
        <v>0</v>
      </c>
      <c r="C10" s="156" t="n">
        <f aca="true">COUNTIFS('Game History'!A:A,("&gt;"&amp;(TODAY()-365)),'Game History'!G:G,"WFTDA",'Game History'!H:H,"Sanc",'Game History'!I:I,Instructions!A76)+COUNTIFS('Game History'!A:A,("&gt;"&amp;(TODAY()-365)),'Game History'!G:G,"WFTDA",'Game History'!H:H,"Sanc",'Game History'!J:J,Instructions!A76)</f>
        <v>0</v>
      </c>
      <c r="D10" s="156" t="n">
        <f aca="true">COUNTIFS('Game History'!A:A,("&gt;"&amp;(TODAY()-365)),'Game History'!G:G,"WFTDA",'Game History'!H:H,"Reg",'Game History'!I:I,Instructions!A76)+COUNTIFS('Game History'!A:A,("&gt;"&amp;(TODAY()-365)),'Game History'!G:G,"WFTDA",'Game History'!H:H,"Reg",'Game History'!J:J,Instructions!A76)</f>
        <v>4</v>
      </c>
      <c r="E10" s="157" t="n">
        <f aca="false">SUM(B10,C10,D10)</f>
        <v>4</v>
      </c>
      <c r="F10" s="147"/>
      <c r="G10" s="152"/>
      <c r="H10" s="158" t="s">
        <v>38</v>
      </c>
      <c r="I10" s="156" t="n">
        <f aca="true">COUNTIFS('Game History'!A:A,("&gt;"&amp;(TODAY()-548)),'Game History'!G:G,"WFTDA",'Game History'!H:H,"Champs",'Game History'!I:I,Instructions!A76)+COUNTIFS('Game History'!A:A,("&gt;"&amp;(TODAY()-548)),'Game History'!G:G,"WFTDA",'Game History'!H:H,"Playoff",'Game History'!I:I,Instructions!A76)+COUNTIFS('Game History'!A:A,("&gt;"&amp;(TODAY()-548)),'Game History'!G:G,"WFTDA",'Game History'!H:H,"Champs",'Game History'!J:J,Instructions!A76)+COUNTIFS('Game History'!A:A,("&gt;"&amp;(TODAY()-548)),'Game History'!G:G,"WFTDA",'Game History'!H:H,"Playoff",'Game History'!J:J,Instructions!A76)</f>
        <v>0</v>
      </c>
      <c r="J10" s="156" t="n">
        <f aca="true">COUNTIFS('Game History'!A:A,("&gt;"&amp;(TODAY()-548)),'Game History'!G:G,"WFTDA",'Game History'!H:H,"Sanc",'Game History'!I:I,Instructions!A76)+COUNTIFS('Game History'!A:A,("&gt;"&amp;(TODAY()-548)),'Game History'!G:G,"WFTDA",'Game History'!H:H,"Sanc",'Game History'!J:J,Instructions!A76)</f>
        <v>0</v>
      </c>
      <c r="K10" s="156" t="n">
        <f aca="true">COUNTIFS('Game History'!A:A,("&gt;"&amp;(TODAY()-548)),'Game History'!G:G,"WFTDA",'Game History'!H:H,"Reg",'Game History'!I:I,Instructions!A76)+COUNTIFS('Game History'!A:A,("&gt;"&amp;(TODAY()-548)),'Game History'!G:G,"WFTDA",'Game History'!H:H,"Reg",'Game History'!J:J,Instructions!A76)</f>
        <v>4</v>
      </c>
      <c r="L10" s="157" t="n">
        <f aca="false">SUM(I10,J10,K10)</f>
        <v>4</v>
      </c>
      <c r="M10" s="147"/>
      <c r="N10" s="147"/>
      <c r="O10" s="147"/>
      <c r="P10" s="147"/>
      <c r="Q10" s="147"/>
      <c r="R10" s="147"/>
      <c r="S10" s="147"/>
      <c r="T10" s="147"/>
    </row>
    <row r="11" customFormat="false" ht="15.75" hidden="false" customHeight="false" outlineLevel="0" collapsed="false">
      <c r="A11" s="98" t="s">
        <v>455</v>
      </c>
      <c r="B11" s="156" t="n">
        <f aca="true">COUNTIFS('Game History'!A:A,("&gt;"&amp;(TODAY()-365)),'Game History'!G:G,"WFTDA",'Game History'!H:H,"Champs",'Game History'!I:I,Instructions!A87)+COUNTIFS('Game History'!A:A,("&gt;"&amp;(TODAY()-365)),'Game History'!G:G,"WFTDA",'Game History'!H:H,"Playoff",'Game History'!I:I,Instructions!A87)</f>
        <v>0</v>
      </c>
      <c r="C11" s="156" t="n">
        <f aca="true">COUNTIFS('Game History'!A:A,("&gt;"&amp;(TODAY()-365)),'Game History'!G:G,"WFTDA",'Game History'!H:H,"Sanc",'Game History'!I:I,Instructions!A87)</f>
        <v>0</v>
      </c>
      <c r="D11" s="156" t="n">
        <f aca="true">COUNTIFS('Game History'!A:A,("&gt;"&amp;(TODAY()-365)),'Game History'!G:G,"WFTDA",'Game History'!H:H,"Reg",'Game History'!I:I,Instructions!A87)</f>
        <v>0</v>
      </c>
      <c r="E11" s="157" t="n">
        <f aca="false">SUM(B11,C11,D11)</f>
        <v>0</v>
      </c>
      <c r="F11" s="147"/>
      <c r="G11" s="152"/>
      <c r="H11" s="158" t="s">
        <v>455</v>
      </c>
      <c r="I11" s="156" t="n">
        <f aca="true">COUNTIFS('Game History'!A:A,("&gt;"&amp;(TODAY()-548)),'Game History'!G:G,"WFTDA",'Game History'!H:H,"Champs",'Game History'!I:I,Instructions!A87)+COUNTIFS('Game History'!A:A,("&gt;"&amp;(TODAY()-548)),'Game History'!G:G,"WFTDA",'Game History'!H:H,"Playoff",'Game History'!I:I,Instructions!A87)</f>
        <v>0</v>
      </c>
      <c r="J11" s="156" t="n">
        <f aca="true">COUNTIFS('Game History'!A:A,("&gt;"&amp;(TODAY()-548)),'Game History'!G:G,"WFTDA",'Game History'!H:H,"Sanc",'Game History'!I:I,Instructions!A87)</f>
        <v>0</v>
      </c>
      <c r="K11" s="156" t="n">
        <f aca="true">COUNTIFS('Game History'!A:A,("&gt;"&amp;(TODAY()-548)),'Game History'!G:G,"WFTDA",'Game History'!H:H,"Reg",'Game History'!I:I,Instructions!A87)</f>
        <v>0</v>
      </c>
      <c r="L11" s="157" t="n">
        <f aca="false">SUM(I11,J11,K11)</f>
        <v>0</v>
      </c>
      <c r="M11" s="147"/>
      <c r="N11" s="147"/>
      <c r="O11" s="147"/>
      <c r="P11" s="147"/>
      <c r="Q11" s="147"/>
      <c r="R11" s="147"/>
      <c r="S11" s="147"/>
      <c r="T11" s="147"/>
    </row>
    <row r="12" customFormat="false" ht="15.75" hidden="false" customHeight="false" outlineLevel="0" collapsed="false">
      <c r="A12" s="98" t="s">
        <v>456</v>
      </c>
      <c r="B12" s="157" t="n">
        <f aca="false">SUM(B5:B11)</f>
        <v>0</v>
      </c>
      <c r="C12" s="157" t="n">
        <f aca="false">SUM(C5:C11)</f>
        <v>0</v>
      </c>
      <c r="D12" s="157" t="n">
        <f aca="false">SUM(D5:D11)</f>
        <v>7</v>
      </c>
      <c r="E12" s="157" t="n">
        <f aca="false">SUM(E5:E11)</f>
        <v>7</v>
      </c>
      <c r="F12" s="147"/>
      <c r="G12" s="152"/>
      <c r="H12" s="158" t="s">
        <v>456</v>
      </c>
      <c r="I12" s="157" t="n">
        <f aca="false">SUM(I5:I11)</f>
        <v>0</v>
      </c>
      <c r="J12" s="157" t="n">
        <f aca="false">SUM(J5:J11)</f>
        <v>0</v>
      </c>
      <c r="K12" s="157" t="n">
        <f aca="false">SUM(K5:K11)</f>
        <v>7</v>
      </c>
      <c r="L12" s="157" t="n">
        <f aca="false">SUM(L5:L11)</f>
        <v>7</v>
      </c>
      <c r="M12" s="147"/>
      <c r="N12" s="147"/>
      <c r="O12" s="147"/>
      <c r="P12" s="147"/>
      <c r="Q12" s="147"/>
      <c r="R12" s="147"/>
      <c r="S12" s="147"/>
      <c r="T12" s="147"/>
    </row>
    <row r="13" customFormat="false" ht="15.75" hidden="false" customHeight="false" outlineLevel="0" collapsed="false">
      <c r="A13" s="150"/>
      <c r="B13" s="150"/>
      <c r="C13" s="150"/>
      <c r="D13" s="150"/>
      <c r="E13" s="150"/>
      <c r="F13" s="147"/>
      <c r="G13" s="147"/>
      <c r="H13" s="150"/>
      <c r="I13" s="150"/>
      <c r="J13" s="150"/>
      <c r="K13" s="150"/>
      <c r="L13" s="150"/>
      <c r="M13" s="147"/>
      <c r="N13" s="147"/>
      <c r="O13" s="147"/>
      <c r="P13" s="147"/>
      <c r="Q13" s="147"/>
      <c r="R13" s="147"/>
      <c r="S13" s="147"/>
      <c r="T13" s="147"/>
    </row>
    <row r="14" customFormat="false" ht="15.75" hidden="false" customHeight="false" outlineLevel="0" collapsed="false">
      <c r="A14" s="147"/>
      <c r="B14" s="147"/>
      <c r="C14" s="147"/>
      <c r="D14" s="147"/>
      <c r="E14" s="147"/>
      <c r="F14" s="147"/>
      <c r="G14" s="147"/>
      <c r="H14" s="147"/>
      <c r="I14" s="147"/>
      <c r="J14" s="147"/>
      <c r="K14" s="147"/>
      <c r="L14" s="147"/>
      <c r="M14" s="147"/>
      <c r="N14" s="147"/>
      <c r="O14" s="147"/>
      <c r="P14" s="147"/>
      <c r="Q14" s="147"/>
      <c r="R14" s="147"/>
      <c r="S14" s="147"/>
      <c r="T14" s="147"/>
    </row>
    <row r="15" customFormat="false" ht="15.75" hidden="false" customHeight="false" outlineLevel="0" collapsed="false">
      <c r="A15" s="148" t="s">
        <v>457</v>
      </c>
      <c r="B15" s="148"/>
      <c r="C15" s="148"/>
      <c r="D15" s="148"/>
      <c r="E15" s="148"/>
      <c r="F15" s="148"/>
      <c r="G15" s="148"/>
      <c r="H15" s="148"/>
      <c r="I15" s="148"/>
      <c r="J15" s="148"/>
      <c r="K15" s="148"/>
      <c r="L15" s="148"/>
      <c r="M15" s="148"/>
      <c r="N15" s="147"/>
      <c r="O15" s="147"/>
      <c r="P15" s="147"/>
      <c r="Q15" s="147"/>
      <c r="R15" s="147"/>
      <c r="S15" s="147"/>
      <c r="T15" s="147"/>
    </row>
    <row r="16" customFormat="false" ht="15.75" hidden="false" customHeight="false" outlineLevel="0" collapsed="false">
      <c r="A16" s="149"/>
      <c r="B16" s="149"/>
      <c r="C16" s="149"/>
      <c r="D16" s="149"/>
      <c r="E16" s="149"/>
      <c r="F16" s="150"/>
      <c r="G16" s="150"/>
      <c r="H16" s="149"/>
      <c r="I16" s="149"/>
      <c r="J16" s="149"/>
      <c r="K16" s="149"/>
      <c r="L16" s="149"/>
      <c r="M16" s="150"/>
      <c r="N16" s="147"/>
      <c r="O16" s="147"/>
      <c r="P16" s="147"/>
      <c r="Q16" s="147"/>
      <c r="R16" s="147"/>
      <c r="S16" s="147"/>
      <c r="T16" s="147"/>
    </row>
    <row r="17" customFormat="false" ht="15.75" hidden="false" customHeight="false" outlineLevel="0" collapsed="false">
      <c r="A17" s="159" t="s">
        <v>452</v>
      </c>
      <c r="B17" s="84" t="s">
        <v>20</v>
      </c>
      <c r="C17" s="84" t="s">
        <v>21</v>
      </c>
      <c r="D17" s="84" t="s">
        <v>22</v>
      </c>
      <c r="E17" s="84" t="s">
        <v>453</v>
      </c>
      <c r="F17" s="11"/>
      <c r="G17" s="152"/>
      <c r="H17" s="153" t="s">
        <v>454</v>
      </c>
      <c r="I17" s="154" t="s">
        <v>20</v>
      </c>
      <c r="J17" s="154" t="s">
        <v>21</v>
      </c>
      <c r="K17" s="154" t="s">
        <v>22</v>
      </c>
      <c r="L17" s="155" t="s">
        <v>453</v>
      </c>
      <c r="M17" s="11"/>
      <c r="N17" s="147"/>
      <c r="O17" s="147"/>
      <c r="P17" s="147"/>
      <c r="Q17" s="147"/>
      <c r="R17" s="147"/>
      <c r="S17" s="147"/>
      <c r="T17" s="147"/>
    </row>
    <row r="18" customFormat="false" ht="15.75" hidden="false" customHeight="false" outlineLevel="0" collapsed="false">
      <c r="A18" s="98" t="s">
        <v>63</v>
      </c>
      <c r="B18" s="156" t="n">
        <f aca="true">COUNTIFS('Game History'!A:A,("&gt;"&amp;(TODAY()-365)),'Game History'!G:G,"WFTDA",'Game History'!H:H,"Champs",'Game History'!I:I,Instructions!A71)+COUNTIFS('Game History'!A:A,("&gt;"&amp;(TODAY()-365)),'Game History'!G:G,"WFTDA",'Game History'!H:H,"Playoff",'Game History'!I:I,Instructions!A71)</f>
        <v>0</v>
      </c>
      <c r="C18" s="156" t="n">
        <f aca="true">COUNTIFS('Game History'!A:A,("&gt;"&amp;(TODAY()-365)),'Game History'!G:G,"WFTDA",'Game History'!H:H,"Sanc",'Game History'!I:I,Instructions!A71)</f>
        <v>0</v>
      </c>
      <c r="D18" s="160" t="n">
        <f aca="true">COUNTIFS('Game History'!A:A,("&gt;"&amp;(TODAY()-365)),'Game History'!G:G,"WFTDA",'Game History'!H:H,"Reg",'Game History'!I:I,Instructions!A71)</f>
        <v>0</v>
      </c>
      <c r="E18" s="157" t="n">
        <f aca="false">SUM(B18+C18+D18)</f>
        <v>0</v>
      </c>
      <c r="F18" s="147"/>
      <c r="G18" s="152"/>
      <c r="H18" s="158" t="s">
        <v>63</v>
      </c>
      <c r="I18" s="156" t="n">
        <f aca="true">COUNTIFS('Game History'!A:A,("&gt;"&amp;(TODAY()-548)),'Game History'!G:G,"WFTDA",'Game History'!H:H,"Champs",'Game History'!I:I,Instructions!A71)+COUNTIFS('Game History'!A:A,("&gt;"&amp;(TODAY()-548)),'Game History'!G:G,"WFTDA",'Game History'!H:H,"Playoff",'Game History'!I:I,Instructions!A71)</f>
        <v>0</v>
      </c>
      <c r="J18" s="156" t="n">
        <f aca="true">COUNTIFS('Game History'!A:A,("&gt;"&amp;(TODAY()-548)),'Game History'!G:G,"WFTDA",'Game History'!H:H,"Sanc",'Game History'!I:I,Instructions!A71)</f>
        <v>0</v>
      </c>
      <c r="K18" s="160" t="n">
        <f aca="true">COUNTIFS('Game History'!A:A,("&gt;"&amp;(TODAY()-548)),'Game History'!G:G,"WFTDA",'Game History'!H:H,"Reg",'Game History'!I:I,Instructions!A71)</f>
        <v>0</v>
      </c>
      <c r="L18" s="157" t="n">
        <f aca="false">SUM(I18+J18+K18)</f>
        <v>0</v>
      </c>
      <c r="M18" s="147"/>
      <c r="N18" s="147"/>
      <c r="O18" s="147"/>
      <c r="P18" s="147"/>
      <c r="Q18" s="147"/>
      <c r="R18" s="147"/>
      <c r="S18" s="147"/>
      <c r="T18" s="147"/>
    </row>
    <row r="19" customFormat="false" ht="15.75" hidden="false" customHeight="false" outlineLevel="0" collapsed="false">
      <c r="A19" s="98" t="s">
        <v>67</v>
      </c>
      <c r="B19" s="28" t="n">
        <f aca="true">COUNTIFS('Game History'!A:A,("&gt;"&amp;(TODAY()-365)),'Game History'!G:G,"WFTDA",'Game History'!H:H,"Champs",'Game History'!I:I,Instructions!A72)+COUNTIFS('Game History'!A:A,("&gt;"&amp;(TODAY()-365)),'Game History'!G:G,"WFTDA",'Game History'!H:H,"Playoff",'Game History'!I:I,Instructions!A72)+COUNTIFS('Game History'!A:A,("&gt;"&amp;(TODAY()-365)),'Game History'!G:G,"WFTDA",'Game History'!H:H,"Champs",'Game History'!I:I,Instructions!A73)+COUNTIFS('Game History'!A:A,("&gt;"&amp;(TODAY()-365)),'Game History'!G:G,"WFTDA",'Game History'!H:H,"Playoff",'Game History'!I:I,Instructions!A73)</f>
        <v>0</v>
      </c>
      <c r="C19" s="160" t="n">
        <f aca="true">COUNTIFS('Game History'!A:A,("&gt;"&amp;(TODAY()-365)),'Game History'!G:G,"WFTDA",'Game History'!H:H,"Sanc",'Game History'!I:I,Instructions!A72)</f>
        <v>0</v>
      </c>
      <c r="D19" s="160" t="n">
        <f aca="true">COUNTIFS('Game History'!A:A,("&gt;"&amp;(TODAY()-365)),'Game History'!G:G,"WFTDA",'Game History'!H:H,"Reg",'Game History'!I:I,Instructions!A72)</f>
        <v>0</v>
      </c>
      <c r="E19" s="161" t="n">
        <f aca="false">SUM(B19+C19+D19)</f>
        <v>0</v>
      </c>
      <c r="F19" s="147"/>
      <c r="G19" s="152"/>
      <c r="H19" s="158" t="s">
        <v>67</v>
      </c>
      <c r="I19" s="28" t="n">
        <f aca="true">COUNTIFS('Game History'!A:A,("&gt;"&amp;(TODAY()-548)),'Game History'!G:G,"WFTDA",'Game History'!H:H,"Champs",'Game History'!I:I,Instructions!A72)+COUNTIFS('Game History'!A:A,("&gt;"&amp;(TODAY()-548)),'Game History'!G:G,"WFTDA",'Game History'!H:H,"Playoff",'Game History'!I:I,Instructions!A72)+COUNTIFS('Game History'!A:A,("&gt;"&amp;(TODAY()-548)),'Game History'!G:G,"WFTDA",'Game History'!H:H,"Champs",'Game History'!I:I,Instructions!A73)+COUNTIFS('Game History'!A:A,("&gt;"&amp;(TODAY()-548)),'Game History'!G:G,"WFTDA",'Game History'!H:H,"Playoff",'Game History'!I:I,Instructions!A73)</f>
        <v>0</v>
      </c>
      <c r="J19" s="156" t="n">
        <f aca="true">COUNTIFS('Game History'!A:A,("&gt;"&amp;(TODAY()-548)),'Game History'!G:G,"WFTDA",'Game History'!H:H,"Sanc",'Game History'!I:I,Instructions!A72)</f>
        <v>0</v>
      </c>
      <c r="K19" s="160" t="n">
        <f aca="true">COUNTIFS('Game History'!A:A,("&gt;"&amp;(TODAY()-548)),'Game History'!G:G,"WFTDA",'Game History'!H:H,"Reg",'Game History'!I:I,Instructions!A72)</f>
        <v>0</v>
      </c>
      <c r="L19" s="161" t="n">
        <f aca="false">SUM(I19+J19+K19)</f>
        <v>0</v>
      </c>
      <c r="M19" s="147"/>
      <c r="N19" s="147"/>
      <c r="O19" s="147"/>
      <c r="P19" s="147"/>
      <c r="Q19" s="147"/>
      <c r="R19" s="147"/>
      <c r="S19" s="147"/>
      <c r="T19" s="147"/>
    </row>
    <row r="20" customFormat="false" ht="15.75" hidden="false" customHeight="false" outlineLevel="0" collapsed="false">
      <c r="A20" s="98" t="s">
        <v>28</v>
      </c>
      <c r="B20" s="108" t="s">
        <v>26</v>
      </c>
      <c r="C20" s="160" t="n">
        <f aca="true">COUNTIFS('Game History'!A:A,("&gt;"&amp;(TODAY()-365)),'Game History'!G:G,"WFTDA",'Game History'!H:H,"Sanc",'Game History'!I:I,Instructions!A73)</f>
        <v>0</v>
      </c>
      <c r="D20" s="160" t="n">
        <f aca="true">COUNTIFS('Game History'!A:A,("&gt;"&amp;(TODAY()-365)),'Game History'!G:G,"WFTDA",'Game History'!H:H,"Reg",'Game History'!I:I,Instructions!A73)</f>
        <v>0</v>
      </c>
      <c r="E20" s="157" t="n">
        <f aca="false">SUM(C20+D20)</f>
        <v>0</v>
      </c>
      <c r="F20" s="84" t="s">
        <v>458</v>
      </c>
      <c r="G20" s="162"/>
      <c r="H20" s="158" t="s">
        <v>28</v>
      </c>
      <c r="I20" s="163" t="s">
        <v>26</v>
      </c>
      <c r="J20" s="156" t="n">
        <f aca="true">COUNTIFS('Game History'!A:A,("&gt;"&amp;(TODAY()-548)),'Game History'!G:G,"WFTDA",'Game History'!H:H,"Sanc",'Game History'!I:I,Instructions!A73)</f>
        <v>0</v>
      </c>
      <c r="K20" s="160" t="n">
        <f aca="true">COUNTIFS('Game History'!A:A,("&gt;"&amp;(TODAY()-548)),'Game History'!G:G,"WFTDA",'Game History'!H:H,"Reg",'Game History'!I:I,Instructions!A73)</f>
        <v>0</v>
      </c>
      <c r="L20" s="157" t="n">
        <f aca="false">SUM(J20+K20)</f>
        <v>0</v>
      </c>
      <c r="M20" s="154" t="s">
        <v>458</v>
      </c>
      <c r="N20" s="147"/>
      <c r="O20" s="147"/>
      <c r="P20" s="147"/>
      <c r="Q20" s="147"/>
      <c r="R20" s="147"/>
      <c r="S20" s="147"/>
      <c r="T20" s="147"/>
    </row>
    <row r="21" customFormat="false" ht="15.75" hidden="false" customHeight="false" outlineLevel="0" collapsed="false">
      <c r="A21" s="98" t="s">
        <v>32</v>
      </c>
      <c r="B21" s="160" t="n">
        <f aca="true">COUNTIFS('Game History'!A:A,("&gt;"&amp;(TODAY()-365)),'Game History'!G:G,"WFTDA",'Game History'!H:H,"Champs",'Game History'!I:I,Instructions!A77)+COUNTIFS('Game History'!A:A,("&gt;"&amp;(TODAY()-365)),'Game History'!G:G,"WFTDA",'Game History'!H:H,"Playoff",'Game History'!I:I,Instructions!A77)+COUNTIFS('Game History'!A:A,("&gt;"&amp;(TODAY()-365)),'Game History'!G:G,"WFTDA",'Game History'!H:H,"Champs",'Game History'!J:J,Instructions!A77)+COUNTIFS('Game History'!A:A,("&gt;"&amp;(TODAY()-365)),'Game History'!G:G,"WFTDA",'Game History'!H:H,"Playoff",'Game History'!J:J,Instructions!A77)</f>
        <v>0</v>
      </c>
      <c r="C21" s="160" t="n">
        <f aca="true">COUNTIFS('Game History'!A:A,("&gt;"&amp;(TODAY()-365)),'Game History'!G:G,"WFTDA",'Game History'!H:H,"Sanc",'Game History'!I:I,Instructions!A77)+COUNTIFS('Game History'!A:A,("&gt;"&amp;(TODAY()-365)),'Game History'!G:G,"WFTDA",'Game History'!H:H,"Sanc",'Game History'!J:J,Instructions!A77)</f>
        <v>0</v>
      </c>
      <c r="D21" s="160" t="n">
        <f aca="true">COUNTIFS('Game History'!A:A,("&gt;"&amp;(TODAY()-365)),'Game History'!G:G,"WFTDA",'Game History'!H:H,"Reg",'Game History'!I:I,Instructions!A77)+COUNTIFS('Game History'!A:A,("&gt;"&amp;(TODAY()-365)),'Game History'!G:G,"WFTDA",'Game History'!H:H,"Reg",'Game History'!J:J,Instructions!A77)</f>
        <v>0</v>
      </c>
      <c r="E21" s="157" t="n">
        <f aca="false">SUM(B21+C21+D21)</f>
        <v>0</v>
      </c>
      <c r="F21" s="156" t="n">
        <f aca="true">COUNTIFS('Game History'!A:A,("&gt;"&amp;(TODAY()-365)),'Game History'!G:G,"WFTDA",'Game History'!I:I,A21,'Game History'!K:K,"Y")+COUNTIFS('Game History'!A:A,("&gt;"&amp;(TODAY()-365)),'Game History'!G:G,"WFTDA",'Game History'!J:J,A21,'Game History'!K:K,"Y")</f>
        <v>0</v>
      </c>
      <c r="G21" s="162"/>
      <c r="H21" s="158" t="s">
        <v>32</v>
      </c>
      <c r="I21" s="160" t="n">
        <f aca="true">COUNTIFS('Game History'!A:A,("&gt;"&amp;(TODAY()-548)),'Game History'!G:G,"WFTDA",'Game History'!H:H,"Champs",'Game History'!I:I,Instructions!A77)+COUNTIFS('Game History'!A:A,("&gt;"&amp;(TODAY()-548)),'Game History'!G:G,"WFTDA",'Game History'!H:H,"Playoff",'Game History'!I:I,Instructions!A77)+COUNTIFS('Game History'!A:A,("&gt;"&amp;(TODAY()-548)),'Game History'!G:G,"WFTDA",'Game History'!H:H,"Champs",'Game History'!J:J,Instructions!A77)+COUNTIFS('Game History'!A:A,("&gt;"&amp;(TODAY()-548)),'Game History'!G:G,"WFTDA",'Game History'!H:H,"Playoff",'Game History'!J:J,Instructions!A77)</f>
        <v>0</v>
      </c>
      <c r="J21" s="156" t="n">
        <f aca="true">COUNTIFS('Game History'!A:A,("&gt;"&amp;(TODAY()-548)),'Game History'!G:G,"WFTDA",'Game History'!H:H,"Sanc",'Game History'!I:I,Instructions!A77)+COUNTIFS('Game History'!A:A,("&gt;"&amp;(TODAY()-548)),'Game History'!G:G,"WFTDA",'Game History'!H:H,"Sanc",'Game History'!J:J,Instructions!A77)</f>
        <v>0</v>
      </c>
      <c r="K21" s="160" t="n">
        <f aca="true">COUNTIFS('Game History'!A:A,("&gt;"&amp;(TODAY()-548)),'Game History'!G:G,"WFTDA",'Game History'!H:H,"Reg",'Game History'!I:I,Instructions!A77)+COUNTIFS('Game History'!A:A,("&gt;"&amp;(TODAY()-548)),'Game History'!G:G,"WFTDA",'Game History'!H:H,"Reg",'Game History'!J:J,Instructions!A77)</f>
        <v>0</v>
      </c>
      <c r="L21" s="157" t="n">
        <f aca="false">SUM(I21+J21+K21)</f>
        <v>0</v>
      </c>
      <c r="M21" s="156" t="n">
        <f aca="true">COUNTIFS('Game History'!A:A,("&gt;"&amp;(TODAY()-548)),'Game History'!G:G,"WFTDA",'Game History'!I:I,A21,'Game History'!K:K,"Y")+COUNTIFS('Game History'!A:A,("&gt;"&amp;(TODAY()-548)),'Game History'!G:G,"WFTDA",'Game History'!J:J,A21,'Game History'!K:K,"Y")</f>
        <v>0</v>
      </c>
      <c r="N21" s="147"/>
      <c r="O21" s="147"/>
      <c r="P21" s="147"/>
      <c r="Q21" s="147"/>
      <c r="R21" s="147"/>
      <c r="S21" s="147"/>
      <c r="T21" s="147"/>
    </row>
    <row r="22" customFormat="false" ht="15.75" hidden="false" customHeight="false" outlineLevel="0" collapsed="false">
      <c r="A22" s="98" t="s">
        <v>36</v>
      </c>
      <c r="B22" s="160" t="n">
        <f aca="true">COUNTIFS('Game History'!A:A,("&gt;"&amp;(TODAY()-365)),'Game History'!G:G,"WFTDA",'Game History'!H:H,"Champs",'Game History'!I:I,Instructions!A78)+COUNTIFS('Game History'!A:A,("&gt;"&amp;(TODAY()-365)),'Game History'!G:G,"WFTDA",'Game History'!H:H,"Playoff",'Game History'!I:I,Instructions!A78)+COUNTIFS('Game History'!A:A,("&gt;"&amp;(TODAY()-365)),'Game History'!G:G,"WFTDA",'Game History'!H:H,"Champs",'Game History'!J:J,Instructions!A78)+COUNTIFS('Game History'!A:A,("&gt;"&amp;(TODAY()-365)),'Game History'!G:G,"WFTDA",'Game History'!H:H,"Playoff",'Game History'!J:J,Instructions!A78)</f>
        <v>0</v>
      </c>
      <c r="C22" s="160" t="n">
        <f aca="true">COUNTIFS('Game History'!A:A,("&gt;"&amp;(TODAY()-365)),'Game History'!G:G,"WFTDA",'Game History'!H:H,"Sanc",'Game History'!I:I,Instructions!A78)+COUNTIFS('Game History'!A:A,("&gt;"&amp;(TODAY()-365)),'Game History'!G:G,"WFTDA",'Game History'!H:H,"Sanc",'Game History'!J:J,Instructions!A78)</f>
        <v>0</v>
      </c>
      <c r="D22" s="160" t="n">
        <f aca="true">COUNTIFS('Game History'!A:A,("&gt;"&amp;(TODAY()-365)),'Game History'!G:G,"WFTDA",'Game History'!H:H,"Reg",'Game History'!I:I,Instructions!A78)+COUNTIFS('Game History'!A:A,("&gt;"&amp;(TODAY()-365)),'Game History'!G:G,"WFTDA",'Game History'!H:H,"Reg",'Game History'!J:J,Instructions!A78)</f>
        <v>0</v>
      </c>
      <c r="E22" s="157" t="n">
        <f aca="false">SUM(B22+C22+D22)</f>
        <v>0</v>
      </c>
      <c r="F22" s="156" t="n">
        <f aca="true">COUNTIFS('Game History'!A:A,("&gt;"&amp;(TODAY()-365)),'Game History'!G:G,"WFTDA",'Game History'!I:I,A22,'Game History'!K:K,"Y")+COUNTIFS('Game History'!A:A,("&gt;"&amp;(TODAY()-365)),'Game History'!G:G,"WFTDA",'Game History'!J:J,A22,'Game History'!K:K,"Y")</f>
        <v>0</v>
      </c>
      <c r="G22" s="162"/>
      <c r="H22" s="158" t="s">
        <v>36</v>
      </c>
      <c r="I22" s="160" t="n">
        <f aca="true">COUNTIFS('Game History'!A:A,("&gt;"&amp;(TODAY()-548)),'Game History'!G:G,"WFTDA",'Game History'!H:H,"Champs",'Game History'!I:I,Instructions!A78)+COUNTIFS('Game History'!A:A,("&gt;"&amp;(TODAY()-548)),'Game History'!G:G,"WFTDA",'Game History'!H:H,"Playoff",'Game History'!I:I,Instructions!A78)+COUNTIFS('Game History'!A:A,("&gt;"&amp;(TODAY()-548)),'Game History'!G:G,"WFTDA",'Game History'!H:H,"Champs",'Game History'!J:J,Instructions!A78)+COUNTIFS('Game History'!A:A,("&gt;"&amp;(TODAY()-548)),'Game History'!G:G,"WFTDA",'Game History'!H:H,"Playoff",'Game History'!J:J,Instructions!A78)</f>
        <v>0</v>
      </c>
      <c r="J22" s="156" t="n">
        <f aca="true">COUNTIFS('Game History'!A:A,("&gt;"&amp;(TODAY()-548)),'Game History'!G:G,"WFTDA",'Game History'!H:H,"Sanc",'Game History'!I:I,Instructions!A78)+COUNTIFS('Game History'!A:A,("&gt;"&amp;(TODAY()-548)),'Game History'!G:G,"WFTDA",'Game History'!H:H,"Sanc",'Game History'!J:J,Instructions!A78)</f>
        <v>0</v>
      </c>
      <c r="K22" s="160" t="n">
        <f aca="true">COUNTIFS('Game History'!A:A,("&gt;"&amp;(TODAY()-548)),'Game History'!G:G,"WFTDA",'Game History'!H:H,"Reg",'Game History'!I:I,Instructions!A78)+COUNTIFS('Game History'!A:A,("&gt;"&amp;(TODAY()-548)),'Game History'!G:G,"WFTDA",'Game History'!H:H,"Reg",'Game History'!J:J,Instructions!A78)</f>
        <v>0</v>
      </c>
      <c r="L22" s="157" t="n">
        <f aca="false">SUM(I22+J22+K22)</f>
        <v>0</v>
      </c>
      <c r="M22" s="156" t="n">
        <f aca="true">COUNTIFS('Game History'!A:A,("&gt;"&amp;(TODAY()-548)),'Game History'!G:G,"WFTDA",'Game History'!I:I,A22,'Game History'!K:K,"Y")+COUNTIFS('Game History'!A:A,("&gt;"&amp;(TODAY()-548)),'Game History'!G:G,"WFTDA",'Game History'!J:J,A22,'Game History'!K:K,"Y")</f>
        <v>0</v>
      </c>
      <c r="N22" s="147"/>
      <c r="O22" s="147"/>
      <c r="P22" s="147"/>
      <c r="Q22" s="147"/>
      <c r="R22" s="147"/>
      <c r="S22" s="147"/>
      <c r="T22" s="147"/>
    </row>
    <row r="23" customFormat="false" ht="15.75" hidden="false" customHeight="false" outlineLevel="0" collapsed="false">
      <c r="A23" s="98" t="s">
        <v>40</v>
      </c>
      <c r="B23" s="160" t="n">
        <f aca="true">COUNTIFS('Game History'!A:A,("&gt;"&amp;(TODAY()-365)),'Game History'!G:G,"WFTDA",'Game History'!H:H,"Champs",'Game History'!I:I,Instructions!A79)+COUNTIFS('Game History'!A:A,("&gt;"&amp;(TODAY()-365)),'Game History'!G:G,"WFTDA",'Game History'!H:H,"Playoff",'Game History'!I:I,Instructions!A79)+COUNTIFS('Game History'!A:A,("&gt;"&amp;(TODAY()-365)),'Game History'!G:G,"WFTDA",'Game History'!H:H,"Champs",'Game History'!J:J,Instructions!A79)+COUNTIFS('Game History'!A:A,("&gt;"&amp;(TODAY()-365)),'Game History'!G:G,"WFTDA",'Game History'!H:H,"Playoff",'Game History'!J:J,Instructions!A79)</f>
        <v>0</v>
      </c>
      <c r="C23" s="160" t="n">
        <f aca="true">COUNTIFS('Game History'!A:A,("&gt;"&amp;(TODAY()-365)),'Game History'!G:G,"WFTDA",'Game History'!H:H,"Sanc",'Game History'!I:I,Instructions!A79)+COUNTIFS('Game History'!A:A,("&gt;"&amp;(TODAY()-365)),'Game History'!G:G,"WFTDA",'Game History'!H:H,"Sanc",'Game History'!J:J,Instructions!A79)</f>
        <v>0</v>
      </c>
      <c r="D23" s="160" t="n">
        <f aca="true">COUNTIFS('Game History'!A:A,("&gt;"&amp;(TODAY()-365)),'Game History'!G:G,"WFTDA",'Game History'!H:H,"Reg",'Game History'!I:I,Instructions!A79)+COUNTIFS('Game History'!A:A,("&gt;"&amp;(TODAY()-365)),'Game History'!G:G,"WFTDA",'Game History'!H:H,"Reg",'Game History'!J:J,Instructions!A79)</f>
        <v>0</v>
      </c>
      <c r="E23" s="157" t="n">
        <f aca="false">SUM(B23+C23+D23)</f>
        <v>0</v>
      </c>
      <c r="F23" s="156" t="n">
        <f aca="true">COUNTIFS('Game History'!A:A,("&gt;"&amp;(TODAY()-365)),'Game History'!G:G,"WFTDA",'Game History'!I:I,A23,'Game History'!K:K,"Y")+COUNTIFS('Game History'!A:A,("&gt;"&amp;(TODAY()-365)),'Game History'!G:G,"WFTDA",'Game History'!J:J,A23,'Game History'!K:K,"Y")</f>
        <v>0</v>
      </c>
      <c r="G23" s="162"/>
      <c r="H23" s="158" t="s">
        <v>40</v>
      </c>
      <c r="I23" s="160" t="n">
        <f aca="true">COUNTIFS('Game History'!A:A,("&gt;"&amp;(TODAY()-548)),'Game History'!G:G,"WFTDA",'Game History'!H:H,"Champs",'Game History'!I:I,Instructions!A79)+COUNTIFS('Game History'!A:A,("&gt;"&amp;(TODAY()-548)),'Game History'!G:G,"WFTDA",'Game History'!H:H,"Playoff",'Game History'!I:I,Instructions!A79)+COUNTIFS('Game History'!A:A,("&gt;"&amp;(TODAY()-548)),'Game History'!G:G,"WFTDA",'Game History'!H:H,"Champs",'Game History'!J:J,Instructions!A79)+COUNTIFS('Game History'!A:A,("&gt;"&amp;(TODAY()-548)),'Game History'!G:G,"WFTDA",'Game History'!H:H,"Playoff",'Game History'!J:J,Instructions!A79)</f>
        <v>0</v>
      </c>
      <c r="J23" s="156" t="n">
        <f aca="true">COUNTIFS('Game History'!A:A,("&gt;"&amp;(TODAY()-548)),'Game History'!G:G,"WFTDA",'Game History'!H:H,"Sanc",'Game History'!I:I,Instructions!A79)+COUNTIFS('Game History'!A:A,("&gt;"&amp;(TODAY()-548)),'Game History'!G:G,"WFTDA",'Game History'!H:H,"Sanc",'Game History'!J:J,Instructions!A79)</f>
        <v>0</v>
      </c>
      <c r="K23" s="160" t="n">
        <f aca="true">COUNTIFS('Game History'!A:A,("&gt;"&amp;(TODAY()-548)),'Game History'!G:G,"WFTDA",'Game History'!H:H,"Reg",'Game History'!I:I,Instructions!A79)+COUNTIFS('Game History'!A:A,("&gt;"&amp;(TODAY()-548)),'Game History'!G:G,"WFTDA",'Game History'!H:H,"Reg",'Game History'!J:J,Instructions!A79)</f>
        <v>0</v>
      </c>
      <c r="L23" s="157" t="n">
        <f aca="false">SUM(I23+J23+K23)</f>
        <v>0</v>
      </c>
      <c r="M23" s="156" t="n">
        <f aca="true">COUNTIFS('Game History'!A:A,("&gt;"&amp;(TODAY()-548)),'Game History'!G:G,"WFTDA",'Game History'!I:I,A23,'Game History'!K:K,"Y")+COUNTIFS('Game History'!A:A,("&gt;"&amp;(TODAY()-548)),'Game History'!G:G,"WFTDA",'Game History'!J:J,A23,'Game History'!K:K,"Y")</f>
        <v>0</v>
      </c>
      <c r="N23" s="147"/>
      <c r="O23" s="147"/>
      <c r="P23" s="147"/>
      <c r="Q23" s="147"/>
      <c r="R23" s="147"/>
      <c r="S23" s="147"/>
      <c r="T23" s="147"/>
    </row>
    <row r="24" customFormat="false" ht="15.75" hidden="false" customHeight="false" outlineLevel="0" collapsed="false">
      <c r="A24" s="98" t="s">
        <v>44</v>
      </c>
      <c r="B24" s="160" t="n">
        <f aca="true">COUNTIFS('Game History'!A:A,("&gt;"&amp;(TODAY()-365)),'Game History'!G:G,"WFTDA",'Game History'!H:H,"Champs",'Game History'!I:I,Instructions!A80)+COUNTIFS('Game History'!A:A,("&gt;"&amp;(TODAY()-365)),'Game History'!G:G,"WFTDA",'Game History'!H:H,"Playoff",'Game History'!I:I,Instructions!A80)+COUNTIFS('Game History'!A:A,("&gt;"&amp;(TODAY()-365)),'Game History'!G:G,"WFTDA",'Game History'!H:H,"Champs",'Game History'!J:J,Instructions!A80)+COUNTIFS('Game History'!A:A,("&gt;"&amp;(TODAY()-365)),'Game History'!G:G,"WFTDA",'Game History'!H:H,"Playoff",'Game History'!J:J,Instructions!A80)</f>
        <v>0</v>
      </c>
      <c r="C24" s="160" t="n">
        <f aca="true">COUNTIFS('Game History'!A:A,("&gt;"&amp;(TODAY()-365)),'Game History'!G:G,"WFTDA",'Game History'!H:H,"Sanc",'Game History'!I:I,Instructions!A80)+COUNTIFS('Game History'!A:A,("&gt;"&amp;(TODAY()-365)),'Game History'!G:G,"WFTDA",'Game History'!H:H,"Sanc",'Game History'!J:J,Instructions!A80)</f>
        <v>0</v>
      </c>
      <c r="D24" s="160" t="n">
        <f aca="true">COUNTIFS('Game History'!A:A,("&gt;"&amp;(TODAY()-365)),'Game History'!G:G,"WFTDA",'Game History'!H:H,"Reg",'Game History'!I:I,Instructions!A80)+COUNTIFS('Game History'!A:A,("&gt;"&amp;(TODAY()-365)),'Game History'!G:G,"WFTDA",'Game History'!H:H,"Reg",'Game History'!J:J,Instructions!A80)</f>
        <v>0</v>
      </c>
      <c r="E24" s="164" t="n">
        <f aca="false">SUM(B24+C24+D24)</f>
        <v>0</v>
      </c>
      <c r="F24" s="156" t="n">
        <f aca="true">COUNTIFS('Game History'!A:A,("&gt;"&amp;(TODAY()-365)),'Game History'!G:G,"WFTDA",'Game History'!I:I,A24,'Game History'!K:K,"Y")+COUNTIFS('Game History'!A:A,("&gt;"&amp;(TODAY()-365)),'Game History'!G:G,"WFTDA",'Game History'!J:J,A24,'Game History'!K:K,"Y")</f>
        <v>0</v>
      </c>
      <c r="G24" s="162"/>
      <c r="H24" s="158" t="s">
        <v>44</v>
      </c>
      <c r="I24" s="160" t="n">
        <f aca="true">COUNTIFS('Game History'!A:A,("&gt;"&amp;(TODAY()-548)),'Game History'!G:G,"WFTDA",'Game History'!H:H,"Champs",'Game History'!I:I,Instructions!A80)+COUNTIFS('Game History'!A:A,("&gt;"&amp;(TODAY()-548)),'Game History'!G:G,"WFTDA",'Game History'!H:H,"Playoff",'Game History'!I:I,Instructions!A80)+COUNTIFS('Game History'!A:A,("&gt;"&amp;(TODAY()-548)),'Game History'!G:G,"WFTDA",'Game History'!H:H,"Champs",'Game History'!J:J,Instructions!A80)+COUNTIFS('Game History'!A:A,("&gt;"&amp;(TODAY()-548)),'Game History'!G:G,"WFTDA",'Game History'!H:H,"Playoff",'Game History'!J:J,Instructions!A80)</f>
        <v>0</v>
      </c>
      <c r="J24" s="156" t="n">
        <f aca="true">COUNTIFS('Game History'!A:A,("&gt;"&amp;(TODAY()-548)),'Game History'!G:G,"WFTDA",'Game History'!H:H,"Sanc",'Game History'!I:I,Instructions!A80)+COUNTIFS('Game History'!A:A,("&gt;"&amp;(TODAY()-548)),'Game History'!G:G,"WFTDA",'Game History'!H:H,"Sanc",'Game History'!J:J,Instructions!A80)</f>
        <v>0</v>
      </c>
      <c r="K24" s="160" t="n">
        <f aca="true">COUNTIFS('Game History'!A:A,("&gt;"&amp;(TODAY()-548)),'Game History'!G:G,"WFTDA",'Game History'!H:H,"Reg",'Game History'!I:I,Instructions!A80)+COUNTIFS('Game History'!A:A,("&gt;"&amp;(TODAY()-548)),'Game History'!G:G,"WFTDA",'Game History'!H:H,"Reg",'Game History'!J:J,Instructions!A80)</f>
        <v>0</v>
      </c>
      <c r="L24" s="164" t="n">
        <f aca="false">SUM(I24+J24+K24)</f>
        <v>0</v>
      </c>
      <c r="M24" s="156" t="n">
        <f aca="true">COUNTIFS('Game History'!A:A,("&gt;"&amp;(TODAY()-548)),'Game History'!G:G,"WFTDA",'Game History'!I:I,A24,'Game History'!K:K,"Y")+COUNTIFS('Game History'!A:A,("&gt;"&amp;(TODAY()-548)),'Game History'!G:G,"WFTDA",'Game History'!J:J,A24,'Game History'!K:K,"Y")</f>
        <v>0</v>
      </c>
      <c r="N24" s="147"/>
      <c r="O24" s="147"/>
      <c r="P24" s="147"/>
      <c r="Q24" s="147"/>
      <c r="R24" s="147"/>
      <c r="S24" s="147"/>
      <c r="T24" s="147"/>
    </row>
    <row r="25" customFormat="false" ht="15.75" hidden="false" customHeight="false" outlineLevel="0" collapsed="false">
      <c r="A25" s="98" t="s">
        <v>47</v>
      </c>
      <c r="B25" s="160" t="n">
        <f aca="true">COUNTIFS('Game History'!A:A,("&gt;"&amp;(TODAY()-365)),'Game History'!G:G,"WFTDA",'Game History'!H:H,"Champs",'Game History'!I:I,Instructions!A81)+COUNTIFS('Game History'!A:A,("&gt;"&amp;(TODAY()-365)),'Game History'!G:G,"WFTDA",'Game History'!H:H,"Playoff",'Game History'!I:I,Instructions!A81)+COUNTIFS('Game History'!A:A,("&gt;"&amp;(TODAY()-365)),'Game History'!G:G,"WFTDA",'Game History'!H:H,"Champs",'Game History'!J:J,Instructions!A81)+COUNTIFS('Game History'!A:A,("&gt;"&amp;(TODAY()-365)),'Game History'!G:G,"WFTDA",'Game History'!H:H,"Playoff",'Game History'!J:J,Instructions!A81)</f>
        <v>0</v>
      </c>
      <c r="C25" s="160" t="n">
        <f aca="true">COUNTIFS('Game History'!A:A,("&gt;"&amp;(TODAY()-365)),'Game History'!G:G,"WFTDA",'Game History'!H:H,"Sanc",'Game History'!I:I,Instructions!A81)+COUNTIFS('Game History'!A:A,("&gt;"&amp;(TODAY()-365)),'Game History'!G:G,"WFTDA",'Game History'!H:H,"Sanc",'Game History'!J:J,Instructions!A81)</f>
        <v>0</v>
      </c>
      <c r="D25" s="160" t="n">
        <f aca="true">COUNTIFS('Game History'!A:A,("&gt;"&amp;(TODAY()-365)),'Game History'!G:G,"WFTDA",'Game History'!H:H,"Reg",'Game History'!I:I,Instructions!A81)+COUNTIFS('Game History'!A:A,("&gt;"&amp;(TODAY()-365)),'Game History'!G:G,"WFTDA",'Game History'!H:H,"Reg",'Game History'!J:J,Instructions!A81)</f>
        <v>0</v>
      </c>
      <c r="E25" s="157" t="n">
        <f aca="false">SUM(B25+C25+D25)</f>
        <v>0</v>
      </c>
      <c r="F25" s="156" t="n">
        <f aca="true">COUNTIFS('Game History'!A:A,("&gt;"&amp;(TODAY()-365)),'Game History'!G:G,"WFTDA",'Game History'!I:I,A25,'Game History'!K:K,"Y")+COUNTIFS('Game History'!A:A,("&gt;"&amp;(TODAY()-365)),'Game History'!G:G,"WFTDA",'Game History'!J:J,A25,'Game History'!K:K,"Y")</f>
        <v>0</v>
      </c>
      <c r="G25" s="162"/>
      <c r="H25" s="158" t="s">
        <v>47</v>
      </c>
      <c r="I25" s="160" t="n">
        <f aca="true">COUNTIFS('Game History'!A:A,("&gt;"&amp;(TODAY()-548)),'Game History'!G:G,"WFTDA",'Game History'!H:H,"Champs",'Game History'!I:I,Instructions!A81)+COUNTIFS('Game History'!A:A,("&gt;"&amp;(TODAY()-548)),'Game History'!G:G,"WFTDA",'Game History'!H:H,"Playoff",'Game History'!I:I,Instructions!A81)+COUNTIFS('Game History'!A:A,("&gt;"&amp;(TODAY()-548)),'Game History'!G:G,"WFTDA",'Game History'!H:H,"Champs",'Game History'!J:J,Instructions!A81)+COUNTIFS('Game History'!A:A,("&gt;"&amp;(TODAY()-548)),'Game History'!G:G,"WFTDA",'Game History'!H:H,"Playoff",'Game History'!J:J,Instructions!A81)</f>
        <v>0</v>
      </c>
      <c r="J25" s="156" t="n">
        <f aca="true">COUNTIFS('Game History'!A:A,("&gt;"&amp;(TODAY()-548)),'Game History'!G:G,"WFTDA",'Game History'!H:H,"Sanc",'Game History'!I:I,Instructions!A81)+COUNTIFS('Game History'!A:A,("&gt;"&amp;(TODAY()-548)),'Game History'!G:G,"WFTDA",'Game History'!H:H,"Sanc",'Game History'!J:J,Instructions!A81)</f>
        <v>0</v>
      </c>
      <c r="K25" s="160" t="n">
        <f aca="true">COUNTIFS('Game History'!A:A,("&gt;"&amp;(TODAY()-548)),'Game History'!G:G,"WFTDA",'Game History'!H:H,"Reg",'Game History'!I:I,Instructions!A81)+COUNTIFS('Game History'!A:A,("&gt;"&amp;(TODAY()-548)),'Game History'!G:G,"WFTDA",'Game History'!H:H,"Reg",'Game History'!J:J,Instructions!A81)</f>
        <v>0</v>
      </c>
      <c r="L25" s="157" t="n">
        <f aca="false">SUM(I25+J25+K25)</f>
        <v>0</v>
      </c>
      <c r="M25" s="156" t="n">
        <f aca="true">COUNTIFS('Game History'!A:A,("&gt;"&amp;(TODAY()-548)),'Game History'!G:G,"WFTDA",'Game History'!I:I,A25,'Game History'!K:K,"Y")+COUNTIFS('Game History'!A:A,("&gt;"&amp;(TODAY()-548)),'Game History'!G:G,"WFTDA",'Game History'!J:J,A25,'Game History'!K:K,"Y")</f>
        <v>0</v>
      </c>
      <c r="N25" s="147"/>
      <c r="O25" s="147"/>
      <c r="P25" s="147"/>
      <c r="Q25" s="147"/>
      <c r="R25" s="147"/>
      <c r="S25" s="147"/>
      <c r="T25" s="147"/>
    </row>
    <row r="26" customFormat="false" ht="15.75" hidden="false" customHeight="false" outlineLevel="0" collapsed="false">
      <c r="A26" s="98" t="s">
        <v>49</v>
      </c>
      <c r="B26" s="160" t="n">
        <f aca="true">COUNTIFS('Game History'!A:A,("&gt;"&amp;(TODAY()-365)),'Game History'!G:G,"WFTDA",'Game History'!H:H,"Champs",'Game History'!I:I,Instructions!A82)+COUNTIFS('Game History'!A:A,("&gt;"&amp;(TODAY()-365)),'Game History'!G:G,"WFTDA",'Game History'!H:H,"Playoff",'Game History'!I:I,Instructions!A82)+COUNTIFS('Game History'!A:A,("&gt;"&amp;(TODAY()-365)),'Game History'!G:G,"WFTDA",'Game History'!H:H,"Champs",'Game History'!J:J,Instructions!A82)+COUNTIFS('Game History'!A:A,("&gt;"&amp;(TODAY()-365)),'Game History'!G:G,"WFTDA",'Game History'!H:H,"Playoff",'Game History'!J:J,Instructions!A82)</f>
        <v>0</v>
      </c>
      <c r="C26" s="160" t="n">
        <f aca="true">COUNTIFS('Game History'!A:A,("&gt;"&amp;(TODAY()-365)),'Game History'!G:G,"WFTDA",'Game History'!H:H,"Sanc",'Game History'!I:I,Instructions!A82)+COUNTIFS('Game History'!A:A,("&gt;"&amp;(TODAY()-365)),'Game History'!G:G,"WFTDA",'Game History'!H:H,"Sanc",'Game History'!J:J,Instructions!A82)</f>
        <v>1</v>
      </c>
      <c r="D26" s="160" t="n">
        <f aca="true">COUNTIFS('Game History'!A:A,("&gt;"&amp;(TODAY()-365)),'Game History'!G:G,"WFTDA",'Game History'!H:H,"Reg",'Game History'!I:I,Instructions!A82)+COUNTIFS('Game History'!A:A,("&gt;"&amp;(TODAY()-365)),'Game History'!G:G,"WFTDA",'Game History'!H:H,"Reg",'Game History'!J:J,Instructions!A82)</f>
        <v>1</v>
      </c>
      <c r="E26" s="157" t="n">
        <f aca="false">SUM(B26+C26+D26)</f>
        <v>2</v>
      </c>
      <c r="F26" s="156" t="n">
        <f aca="true">COUNTIFS('Game History'!A:A,("&gt;"&amp;(TODAY()-365)),'Game History'!G:G,"WFTDA",'Game History'!I:I,A26,'Game History'!K:K,"Y")+COUNTIFS('Game History'!A:A,("&gt;"&amp;(TODAY()-365)),'Game History'!G:G,"WFTDA",'Game History'!J:J,A26,'Game History'!K:K,"Y")</f>
        <v>0</v>
      </c>
      <c r="G26" s="162"/>
      <c r="H26" s="158" t="s">
        <v>49</v>
      </c>
      <c r="I26" s="160" t="n">
        <f aca="true">COUNTIFS('Game History'!A:A,("&gt;"&amp;(TODAY()-548)),'Game History'!G:G,"WFTDA",'Game History'!H:H,"Champs",'Game History'!I:I,Instructions!A82)+COUNTIFS('Game History'!A:A,("&gt;"&amp;(TODAY()-548)),'Game History'!G:G,"WFTDA",'Game History'!H:H,"Playoff",'Game History'!I:I,Instructions!A82)+COUNTIFS('Game History'!A:A,("&gt;"&amp;(TODAY()-548)),'Game History'!G:G,"WFTDA",'Game History'!H:H,"Champs",'Game History'!J:J,Instructions!A82)+COUNTIFS('Game History'!A:A,("&gt;"&amp;(TODAY()-548)),'Game History'!G:G,"WFTDA",'Game History'!H:H,"Playoff",'Game History'!J:J,Instructions!A82)</f>
        <v>0</v>
      </c>
      <c r="J26" s="156" t="n">
        <f aca="true">COUNTIFS('Game History'!A:A,("&gt;"&amp;(TODAY()-548)),'Game History'!G:G,"WFTDA",'Game History'!H:H,"Sanc",'Game History'!I:I,Instructions!A82)+COUNTIFS('Game History'!A:A,("&gt;"&amp;(TODAY()-548)),'Game History'!G:G,"WFTDA",'Game History'!H:H,"Sanc",'Game History'!J:J,Instructions!A82)</f>
        <v>1</v>
      </c>
      <c r="K26" s="160" t="n">
        <f aca="true">COUNTIFS('Game History'!A:A,("&gt;"&amp;(TODAY()-548)),'Game History'!G:G,"WFTDA",'Game History'!H:H,"Reg",'Game History'!I:I,Instructions!A82)+COUNTIFS('Game History'!A:A,("&gt;"&amp;(TODAY()-548)),'Game History'!G:G,"WFTDA",'Game History'!H:H,"Reg",'Game History'!J:J,Instructions!A82)</f>
        <v>1</v>
      </c>
      <c r="L26" s="157" t="n">
        <f aca="false">SUM(I26+J26+K26)</f>
        <v>2</v>
      </c>
      <c r="M26" s="156" t="n">
        <f aca="true">COUNTIFS('Game History'!A:A,("&gt;"&amp;(TODAY()-548)),'Game History'!G:G,"WFTDA",'Game History'!I:I,A26,'Game History'!K:K,"Y")+COUNTIFS('Game History'!A:A,("&gt;"&amp;(TODAY()-548)),'Game History'!G:G,"WFTDA",'Game History'!J:J,A26,'Game History'!K:K,"Y")</f>
        <v>0</v>
      </c>
      <c r="N26" s="147"/>
      <c r="O26" s="147"/>
      <c r="P26" s="147"/>
      <c r="Q26" s="147"/>
      <c r="R26" s="147"/>
      <c r="S26" s="147"/>
      <c r="T26" s="147"/>
    </row>
    <row r="27" customFormat="false" ht="15.75" hidden="false" customHeight="false" outlineLevel="0" collapsed="false">
      <c r="A27" s="98" t="s">
        <v>53</v>
      </c>
      <c r="B27" s="160" t="n">
        <f aca="true">COUNTIFS('Game History'!A:A,("&gt;"&amp;(TODAY()-365)),'Game History'!G:G,"WFTDA",'Game History'!H:H,"Champs",'Game History'!I:I,Instructions!A83)+COUNTIFS('Game History'!A:A,("&gt;"&amp;(TODAY()-365)),'Game History'!G:G,"WFTDA",'Game History'!H:H,"Playoff",'Game History'!I:I,Instructions!A83)+COUNTIFS('Game History'!A:A,("&gt;"&amp;(TODAY()-365)),'Game History'!G:G,"WFTDA",'Game History'!H:H,"Champs",'Game History'!J:J,Instructions!A83)+COUNTIFS('Game History'!A:A,("&gt;"&amp;(TODAY()-365)),'Game History'!G:G,"WFTDA",'Game History'!H:H,"Playoff",'Game History'!J:J,Instructions!A83)</f>
        <v>0</v>
      </c>
      <c r="C27" s="160" t="n">
        <f aca="true">COUNTIFS('Game History'!A:A,("&gt;"&amp;(TODAY()-365)),'Game History'!G:G,"WFTDA",'Game History'!H:H,"Sanc",'Game History'!I:I,Instructions!A83)+COUNTIFS('Game History'!A:A,("&gt;"&amp;(TODAY()-365)),'Game History'!G:G,"WFTDA",'Game History'!H:H,"Sanc",'Game History'!J:J,Instructions!A83)</f>
        <v>0</v>
      </c>
      <c r="D27" s="160" t="n">
        <f aca="true">COUNTIFS('Game History'!A:A,("&gt;"&amp;(TODAY()-365)),'Game History'!G:G,"WFTDA",'Game History'!H:H,"Reg",'Game History'!I:I,Instructions!A83)+COUNTIFS('Game History'!A:A,("&gt;"&amp;(TODAY()-365)),'Game History'!G:G,"WFTDA",'Game History'!H:H,"Reg",'Game History'!J:J,Instructions!A83)</f>
        <v>0</v>
      </c>
      <c r="E27" s="157" t="n">
        <f aca="false">SUM(B27+C27+D27)</f>
        <v>0</v>
      </c>
      <c r="F27" s="156" t="n">
        <f aca="true">COUNTIFS('Game History'!A:A,("&gt;"&amp;(TODAY()-365)),'Game History'!G:G,"WFTDA",'Game History'!I:I,A27,'Game History'!K:K,"Y")+COUNTIFS('Game History'!A:A,("&gt;"&amp;(TODAY()-365)),'Game History'!G:G,"WFTDA",'Game History'!J:J,A27,'Game History'!K:K,"Y")</f>
        <v>0</v>
      </c>
      <c r="G27" s="162"/>
      <c r="H27" s="158" t="s">
        <v>53</v>
      </c>
      <c r="I27" s="160" t="n">
        <f aca="true">COUNTIFS('Game History'!A:A,("&gt;"&amp;(TODAY()-548)),'Game History'!G:G,"WFTDA",'Game History'!H:H,"Champs",'Game History'!I:I,Instructions!A83)+COUNTIFS('Game History'!A:A,("&gt;"&amp;(TODAY()-548)),'Game History'!G:G,"WFTDA",'Game History'!H:H,"Playoff",'Game History'!I:I,Instructions!A83)+COUNTIFS('Game History'!A:A,("&gt;"&amp;(TODAY()-548)),'Game History'!G:G,"WFTDA",'Game History'!H:H,"Champs",'Game History'!J:J,Instructions!A83)+COUNTIFS('Game History'!A:A,("&gt;"&amp;(TODAY()-548)),'Game History'!G:G,"WFTDA",'Game History'!H:H,"Playoff",'Game History'!J:J,Instructions!A83)</f>
        <v>0</v>
      </c>
      <c r="J27" s="156" t="n">
        <f aca="true">COUNTIFS('Game History'!A:A,("&gt;"&amp;(TODAY()-548)),'Game History'!G:G,"WFTDA",'Game History'!H:H,"Sanc",'Game History'!I:I,Instructions!A83)+COUNTIFS('Game History'!A:A,("&gt;"&amp;(TODAY()-548)),'Game History'!G:G,"WFTDA",'Game History'!H:H,"Sanc",'Game History'!J:J,Instructions!A83)</f>
        <v>0</v>
      </c>
      <c r="K27" s="160" t="n">
        <f aca="true">COUNTIFS('Game History'!A:A,("&gt;"&amp;(TODAY()-548)),'Game History'!G:G,"WFTDA",'Game History'!H:H,"Reg",'Game History'!I:I,Instructions!A83)+COUNTIFS('Game History'!A:A,("&gt;"&amp;(TODAY()-548)),'Game History'!G:G,"WFTDA",'Game History'!H:H,"Reg",'Game History'!J:J,Instructions!A83)</f>
        <v>0</v>
      </c>
      <c r="L27" s="157" t="n">
        <f aca="false">SUM(I27+J27+K27)</f>
        <v>0</v>
      </c>
      <c r="M27" s="156" t="n">
        <f aca="true">COUNTIFS('Game History'!A:A,("&gt;"&amp;(TODAY()-548)),'Game History'!G:G,"WFTDA",'Game History'!I:I,A27,'Game History'!K:K,"Y")+COUNTIFS('Game History'!A:A,("&gt;"&amp;(TODAY()-548)),'Game History'!G:G,"WFTDA",'Game History'!J:J,A27,'Game History'!K:K,"Y")</f>
        <v>0</v>
      </c>
      <c r="N27" s="147"/>
      <c r="O27" s="147"/>
      <c r="P27" s="147"/>
      <c r="Q27" s="147"/>
      <c r="R27" s="147"/>
      <c r="S27" s="147"/>
      <c r="T27" s="147"/>
    </row>
    <row r="28" customFormat="false" ht="15.75" hidden="false" customHeight="false" outlineLevel="0" collapsed="false">
      <c r="A28" s="98" t="s">
        <v>57</v>
      </c>
      <c r="B28" s="160" t="n">
        <f aca="true">COUNTIFS('Game History'!A:A,("&gt;"&amp;(TODAY()-365)),'Game History'!G:G,"WFTDA",'Game History'!H:H,"Champs",'Game History'!I:I,Instructions!A84)+COUNTIFS('Game History'!A:A,("&gt;"&amp;(TODAY()-365)),'Game History'!G:G,"WFTDA",'Game History'!H:H,"Playoff",'Game History'!I:I,Instructions!A84)+COUNTIFS('Game History'!A:A,("&gt;"&amp;(TODAY()-365)),'Game History'!G:G,"WFTDA",'Game History'!H:H,"Champs",'Game History'!J:J,Instructions!A84)+COUNTIFS('Game History'!A:A,("&gt;"&amp;(TODAY()-365)),'Game History'!G:G,"WFTDA",'Game History'!H:H,"Playoff",'Game History'!J:J,Instructions!A84)</f>
        <v>0</v>
      </c>
      <c r="C28" s="160" t="n">
        <f aca="true">COUNTIFS('Game History'!A:A,("&gt;"&amp;(TODAY()-365)),'Game History'!G:G,"WFTDA",'Game History'!H:H,"Sanc",'Game History'!I:I,Instructions!A84)+COUNTIFS('Game History'!A:A,("&gt;"&amp;(TODAY()-365)),'Game History'!G:G,"WFTDA",'Game History'!H:H,"Sanc",'Game History'!J:J,Instructions!A84)</f>
        <v>0</v>
      </c>
      <c r="D28" s="160" t="n">
        <f aca="true">COUNTIFS('Game History'!A:A,("&gt;"&amp;(TODAY()-365)),'Game History'!G:G,"WFTDA",'Game History'!H:H,"Reg",'Game History'!I:I,Instructions!A84)+COUNTIFS('Game History'!A:A,("&gt;"&amp;(TODAY()-365)),'Game History'!G:G,"WFTDA",'Game History'!H:H,"Reg",'Game History'!J:J,Instructions!A84)</f>
        <v>1</v>
      </c>
      <c r="E28" s="157" t="n">
        <f aca="false">SUM(B28+C28+D28)</f>
        <v>1</v>
      </c>
      <c r="F28" s="156" t="n">
        <f aca="true">COUNTIFS('Game History'!A:A,("&gt;"&amp;(TODAY()-365)),'Game History'!G:G,"WFTDA",'Game History'!I:I,A28,'Game History'!K:K,"Y")+COUNTIFS('Game History'!A:A,("&gt;"&amp;(TODAY()-365)),'Game History'!G:G,"WFTDA",'Game History'!J:J,A28,'Game History'!K:K,"Y")</f>
        <v>0</v>
      </c>
      <c r="G28" s="162"/>
      <c r="H28" s="158" t="s">
        <v>57</v>
      </c>
      <c r="I28" s="160" t="n">
        <f aca="true">COUNTIFS('Game History'!A:A,("&gt;"&amp;(TODAY()-548)),'Game History'!G:G,"WFTDA",'Game History'!H:H,"Champs",'Game History'!I:I,Instructions!A84)+COUNTIFS('Game History'!A:A,("&gt;"&amp;(TODAY()-548)),'Game History'!G:G,"WFTDA",'Game History'!H:H,"Playoff",'Game History'!I:I,Instructions!A84)+COUNTIFS('Game History'!A:A,("&gt;"&amp;(TODAY()-548)),'Game History'!G:G,"WFTDA",'Game History'!H:H,"Champs",'Game History'!J:J,Instructions!A84)+COUNTIFS('Game History'!A:A,("&gt;"&amp;(TODAY()-548)),'Game History'!G:G,"WFTDA",'Game History'!H:H,"Playoff",'Game History'!J:J,Instructions!A84)</f>
        <v>0</v>
      </c>
      <c r="J28" s="156" t="n">
        <f aca="true">COUNTIFS('Game History'!A:A,("&gt;"&amp;(TODAY()-548)),'Game History'!G:G,"WFTDA",'Game History'!H:H,"Sanc",'Game History'!I:I,Instructions!A84)+COUNTIFS('Game History'!A:A,("&gt;"&amp;(TODAY()-548)),'Game History'!G:G,"WFTDA",'Game History'!H:H,"Sanc",'Game History'!J:J,Instructions!A84)</f>
        <v>0</v>
      </c>
      <c r="K28" s="160" t="n">
        <f aca="true">COUNTIFS('Game History'!A:A,("&gt;"&amp;(TODAY()-548)),'Game History'!G:G,"WFTDA",'Game History'!H:H,"Reg",'Game History'!I:I,Instructions!A84)+COUNTIFS('Game History'!A:A,("&gt;"&amp;(TODAY()-548)),'Game History'!G:G,"WFTDA",'Game History'!H:H,"Reg",'Game History'!J:J,Instructions!A84)</f>
        <v>1</v>
      </c>
      <c r="L28" s="157" t="n">
        <f aca="false">SUM(I28+J28+K28)</f>
        <v>1</v>
      </c>
      <c r="M28" s="156" t="n">
        <f aca="true">COUNTIFS('Game History'!A:A,("&gt;"&amp;(TODAY()-548)),'Game History'!G:G,"WFTDA",'Game History'!I:I,A28,'Game History'!K:K,"Y")+COUNTIFS('Game History'!A:A,("&gt;"&amp;(TODAY()-548)),'Game History'!G:G,"WFTDA",'Game History'!J:J,A28,'Game History'!K:K,"Y")</f>
        <v>0</v>
      </c>
      <c r="N28" s="147"/>
      <c r="O28" s="147"/>
      <c r="P28" s="147"/>
      <c r="Q28" s="147"/>
      <c r="R28" s="147"/>
      <c r="S28" s="147"/>
      <c r="T28" s="147"/>
    </row>
    <row r="29" customFormat="false" ht="15.75" hidden="false" customHeight="false" outlineLevel="0" collapsed="false">
      <c r="A29" s="98" t="s">
        <v>61</v>
      </c>
      <c r="B29" s="160" t="n">
        <f aca="true">COUNTIFS('Game History'!A:A,("&gt;"&amp;(TODAY()-365)),'Game History'!G:G,"WFTDA",'Game History'!H:H,"Champs",'Game History'!I:I,Instructions!A85)+COUNTIFS('Game History'!A:A,("&gt;"&amp;(TODAY()-365)),'Game History'!G:G,"WFTDA",'Game History'!H:H,"Playoff",'Game History'!I:I,Instructions!A85)+COUNTIFS('Game History'!A:A,("&gt;"&amp;(TODAY()-365)),'Game History'!G:G,"WFTDA",'Game History'!H:H,"Champs",'Game History'!J:J,Instructions!A85)+COUNTIFS('Game History'!A:A,("&gt;"&amp;(TODAY()-365)),'Game History'!G:G,"WFTDA",'Game History'!H:H,"Playoff",'Game History'!J:J,Instructions!A85)</f>
        <v>0</v>
      </c>
      <c r="C29" s="160" t="n">
        <f aca="true">COUNTIFS('Game History'!A:A,("&gt;"&amp;(TODAY()-365)),'Game History'!G:G,"WFTDA",'Game History'!H:H,"Sanc",'Game History'!I:I,Instructions!A85)+COUNTIFS('Game History'!A:A,("&gt;"&amp;(TODAY()-365)),'Game History'!G:G,"WFTDA",'Game History'!H:H,"Sanc",'Game History'!J:J,Instructions!A85)</f>
        <v>0</v>
      </c>
      <c r="D29" s="160" t="n">
        <f aca="true">COUNTIFS('Game History'!A:A,("&gt;"&amp;(TODAY()-365)),'Game History'!G:G,"WFTDA",'Game History'!H:H,"Reg",'Game History'!I:I,Instructions!A85)+COUNTIFS('Game History'!A:A,("&gt;"&amp;(TODAY()-365)),'Game History'!G:G,"WFTDA",'Game History'!H:H,"Reg",'Game History'!J:J,Instructions!A85)</f>
        <v>0</v>
      </c>
      <c r="E29" s="157" t="n">
        <f aca="false">SUM(B29+C29+D29)</f>
        <v>0</v>
      </c>
      <c r="F29" s="156" t="n">
        <f aca="true">COUNTIFS('Game History'!A:A,("&gt;"&amp;(TODAY()-365)),'Game History'!G:G,"WFTDA",'Game History'!I:I,A29,'Game History'!K:K,"Y")+COUNTIFS('Game History'!A:A,("&gt;"&amp;(TODAY()-365)),'Game History'!G:G,"WFTDA",'Game History'!J:J,A29,'Game History'!K:K,"Y")</f>
        <v>0</v>
      </c>
      <c r="G29" s="162"/>
      <c r="H29" s="158" t="s">
        <v>61</v>
      </c>
      <c r="I29" s="160" t="n">
        <f aca="true">COUNTIFS('Game History'!A:A,("&gt;"&amp;(TODAY()-548)),'Game History'!G:G,"WFTDA",'Game History'!H:H,"Champs",'Game History'!I:I,Instructions!A85)+COUNTIFS('Game History'!A:A,("&gt;"&amp;(TODAY()-548)),'Game History'!G:G,"WFTDA",'Game History'!H:H,"Playoff",'Game History'!I:I,Instructions!A85)+COUNTIFS('Game History'!A:A,("&gt;"&amp;(TODAY()-548)),'Game History'!G:G,"WFTDA",'Game History'!H:H,"Champs",'Game History'!J:J,Instructions!A85)+COUNTIFS('Game History'!A:A,("&gt;"&amp;(TODAY()-548)),'Game History'!G:G,"WFTDA",'Game History'!H:H,"Playoff",'Game History'!J:J,Instructions!A85)</f>
        <v>0</v>
      </c>
      <c r="J29" s="156" t="n">
        <f aca="true">COUNTIFS('Game History'!A:A,("&gt;"&amp;(TODAY()-548)),'Game History'!G:G,"WFTDA",'Game History'!H:H,"Sanc",'Game History'!I:I,Instructions!A85)+COUNTIFS('Game History'!A:A,("&gt;"&amp;(TODAY()-548)),'Game History'!G:G,"WFTDA",'Game History'!H:H,"Sanc",'Game History'!J:J,Instructions!A85)</f>
        <v>0</v>
      </c>
      <c r="K29" s="160" t="n">
        <f aca="true">COUNTIFS('Game History'!A:A,("&gt;"&amp;(TODAY()-548)),'Game History'!G:G,"WFTDA",'Game History'!H:H,"Reg",'Game History'!I:I,Instructions!A85)+COUNTIFS('Game History'!A:A,("&gt;"&amp;(TODAY()-548)),'Game History'!G:G,"WFTDA",'Game History'!H:H,"Reg",'Game History'!J:J,Instructions!A85)</f>
        <v>0</v>
      </c>
      <c r="L29" s="157" t="n">
        <f aca="false">SUM(I29+J29+K29)</f>
        <v>0</v>
      </c>
      <c r="M29" s="156" t="n">
        <f aca="true">COUNTIFS('Game History'!A:A,("&gt;"&amp;(TODAY()-548)),'Game History'!G:G,"WFTDA",'Game History'!I:I,A29,'Game History'!K:K,"Y")+COUNTIFS('Game History'!A:A,("&gt;"&amp;(TODAY()-548)),'Game History'!G:G,"WFTDA",'Game History'!J:J,A29,'Game History'!K:K,"Y")</f>
        <v>0</v>
      </c>
      <c r="N29" s="147"/>
      <c r="O29" s="147"/>
      <c r="P29" s="147"/>
      <c r="Q29" s="147"/>
      <c r="R29" s="147"/>
      <c r="S29" s="147"/>
      <c r="T29" s="147"/>
    </row>
    <row r="30" customFormat="false" ht="15.75" hidden="false" customHeight="false" outlineLevel="0" collapsed="false">
      <c r="A30" s="98" t="s">
        <v>65</v>
      </c>
      <c r="B30" s="160" t="n">
        <f aca="true">COUNTIFS('Game History'!A:A,("&gt;"&amp;(TODAY()-365)),'Game History'!G:G,"WFTDA",'Game History'!H:H,"Champs",'Game History'!I:I,Instructions!A86)+COUNTIFS('Game History'!A:A,("&gt;"&amp;(TODAY()-365)),'Game History'!G:G,"WFTDA",'Game History'!H:H,"Playoff",'Game History'!I:I,Instructions!A86)+COUNTIFS('Game History'!A:A,("&gt;"&amp;(TODAY()-365)),'Game History'!G:G,"WFTDA",'Game History'!H:H,"Champs",'Game History'!J:J,Instructions!A86)+COUNTIFS('Game History'!A:A,("&gt;"&amp;(TODAY()-365)),'Game History'!G:G,"WFTDA",'Game History'!H:H,"Playoff",'Game History'!J:J,Instructions!A86)</f>
        <v>0</v>
      </c>
      <c r="C30" s="160" t="n">
        <f aca="true">COUNTIFS('Game History'!A:A,("&gt;"&amp;(TODAY()-365)),'Game History'!G:G,"WFTDA",'Game History'!H:H,"Sanc",'Game History'!I:I,Instructions!A86)+COUNTIFS('Game History'!A:A,("&gt;"&amp;(TODAY()-365)),'Game History'!G:G,"WFTDA",'Game History'!H:H,"Sanc",'Game History'!J:J,Instructions!A86)</f>
        <v>0</v>
      </c>
      <c r="D30" s="160" t="n">
        <f aca="true">COUNTIFS('Game History'!A:A,("&gt;"&amp;(TODAY()-365)),'Game History'!G:G,"WFTDA",'Game History'!H:H,"Reg",'Game History'!I:I,Instructions!A86)+COUNTIFS('Game History'!A:A,("&gt;"&amp;(TODAY()-365)),'Game History'!G:G,"WFTDA",'Game History'!H:H,"Reg",'Game History'!J:J,Instructions!A86)</f>
        <v>0</v>
      </c>
      <c r="E30" s="157" t="n">
        <f aca="false">SUM(B30+C30+D30)</f>
        <v>0</v>
      </c>
      <c r="F30" s="156" t="n">
        <f aca="true">COUNTIFS('Game History'!A:A,("&gt;"&amp;(TODAY()-365)),'Game History'!G:G,"WFTDA",'Game History'!I:I,A30,'Game History'!K:K,"Y")+COUNTIFS('Game History'!A:A,("&gt;"&amp;(TODAY()-365)),'Game History'!G:G,"WFTDA",'Game History'!J:J,A30,'Game History'!K:K,"Y")</f>
        <v>0</v>
      </c>
      <c r="G30" s="162"/>
      <c r="H30" s="158" t="s">
        <v>65</v>
      </c>
      <c r="I30" s="160" t="n">
        <f aca="true">COUNTIFS('Game History'!A:A,("&gt;"&amp;(TODAY()-548)),'Game History'!G:G,"WFTDA",'Game History'!H:H,"Champs",'Game History'!I:I,Instructions!A86)+COUNTIFS('Game History'!A:A,("&gt;"&amp;(TODAY()-548)),'Game History'!G:G,"WFTDA",'Game History'!H:H,"Playoff",'Game History'!I:I,Instructions!A86)+COUNTIFS('Game History'!A:A,("&gt;"&amp;(TODAY()-548)),'Game History'!G:G,"WFTDA",'Game History'!H:H,"Champs",'Game History'!J:J,Instructions!A86)+COUNTIFS('Game History'!A:A,("&gt;"&amp;(TODAY()-548)),'Game History'!G:G,"WFTDA",'Game History'!H:H,"Playoff",'Game History'!J:J,Instructions!A86)</f>
        <v>0</v>
      </c>
      <c r="J30" s="156" t="n">
        <f aca="true">COUNTIFS('Game History'!A:A,("&gt;"&amp;(TODAY()-548)),'Game History'!G:G,"WFTDA",'Game History'!H:H,"Sanc",'Game History'!I:I,Instructions!A86)+COUNTIFS('Game History'!A:A,("&gt;"&amp;(TODAY()-548)),'Game History'!G:G,"WFTDA",'Game History'!H:H,"Sanc",'Game History'!J:J,Instructions!A86)</f>
        <v>0</v>
      </c>
      <c r="K30" s="160" t="n">
        <f aca="true">COUNTIFS('Game History'!A:A,("&gt;"&amp;(TODAY()-548)),'Game History'!G:G,"WFTDA",'Game History'!H:H,"Reg",'Game History'!I:I,Instructions!A86)+COUNTIFS('Game History'!A:A,("&gt;"&amp;(TODAY()-548)),'Game History'!G:G,"WFTDA",'Game History'!H:H,"Reg",'Game History'!J:J,Instructions!A86)</f>
        <v>0</v>
      </c>
      <c r="L30" s="157" t="n">
        <f aca="false">SUM(I30+J30+K30)</f>
        <v>0</v>
      </c>
      <c r="M30" s="156" t="n">
        <f aca="true">COUNTIFS('Game History'!A:A,("&gt;"&amp;(TODAY()-548)),'Game History'!G:G,"WFTDA",'Game History'!I:I,A30,'Game History'!K:K,"Y")+COUNTIFS('Game History'!A:A,("&gt;"&amp;(TODAY()-548)),'Game History'!G:G,"WFTDA",'Game History'!J:J,A30,'Game History'!K:K,"Y")</f>
        <v>0</v>
      </c>
      <c r="N30" s="147"/>
      <c r="O30" s="147"/>
      <c r="P30" s="147"/>
      <c r="Q30" s="147"/>
      <c r="R30" s="147"/>
      <c r="S30" s="147"/>
      <c r="T30" s="147"/>
    </row>
    <row r="31" customFormat="false" ht="15.75" hidden="false" customHeight="false" outlineLevel="0" collapsed="false">
      <c r="A31" s="98" t="s">
        <v>455</v>
      </c>
      <c r="B31" s="160" t="n">
        <f aca="true">COUNTIFS('Game History'!A:A,("&gt;"&amp;(TODAY()-365)),'Game History'!G:G,"WFTDA",'Game History'!H:H,"Champs",'Game History'!I:I,Instructions!A88)+COUNTIFS('Game History'!A:A,("&gt;"&amp;(TODAY()-365)),'Game History'!G:G,"WFTDA",'Game History'!H:H,"Playoff",'Game History'!I:I,Instructions!A88)</f>
        <v>0</v>
      </c>
      <c r="C31" s="156" t="n">
        <f aca="true">COUNTIFS('Game History'!A:A,("&gt;"&amp;(TODAY()-365)),'Game History'!G:G,"WFTDA",'Game History'!H:H,"Sanc",'Game History'!I:I,Instructions!A88)</f>
        <v>0</v>
      </c>
      <c r="D31" s="160" t="n">
        <f aca="true">COUNTIFS('Game History'!A:A,("&gt;"&amp;(TODAY()-365)),'Game History'!G:G,"WFTDA",'Game History'!H:H,"Reg",'Game History'!I:I,Instructions!A88)</f>
        <v>0</v>
      </c>
      <c r="E31" s="157" t="n">
        <f aca="false">SUM(B31+C31+D31)</f>
        <v>0</v>
      </c>
      <c r="F31" s="89"/>
      <c r="G31" s="162"/>
      <c r="H31" s="158" t="s">
        <v>455</v>
      </c>
      <c r="I31" s="160" t="n">
        <f aca="true">COUNTIFS('Game History'!A:A,("&gt;"&amp;(TODAY()-548)),'Game History'!G:G,"WFTDA",'Game History'!H:H,"Champs",'Game History'!I:I,Instructions!A88)+COUNTIFS('Game History'!A:A,("&gt;"&amp;(TODAY()-548)),'Game History'!G:G,"WFTDA",'Game History'!H:H,"Playoff",'Game History'!I:I,Instructions!A88)</f>
        <v>0</v>
      </c>
      <c r="J31" s="156" t="n">
        <f aca="true">COUNTIFS('Game History'!A:A,("&gt;"&amp;(TODAY()-548)),'Game History'!G:G,"WFTDA",'Game History'!H:H,"Sanc",'Game History'!I:I,Instructions!A88)</f>
        <v>0</v>
      </c>
      <c r="K31" s="160" t="n">
        <f aca="true">COUNTIFS('Game History'!A:A,("&gt;"&amp;(TODAY()-548)),'Game History'!G:G,"WFTDA",'Game History'!H:H,"Reg",'Game History'!I:I,Instructions!A88)</f>
        <v>0</v>
      </c>
      <c r="L31" s="157" t="n">
        <f aca="false">SUM(I31+J31+K31)</f>
        <v>0</v>
      </c>
      <c r="M31" s="165"/>
      <c r="N31" s="147"/>
      <c r="O31" s="147"/>
      <c r="P31" s="147"/>
      <c r="Q31" s="147"/>
      <c r="R31" s="147"/>
      <c r="S31" s="147"/>
      <c r="T31" s="147"/>
    </row>
    <row r="32" customFormat="false" ht="15.75" hidden="false" customHeight="false" outlineLevel="0" collapsed="false">
      <c r="A32" s="98" t="s">
        <v>456</v>
      </c>
      <c r="B32" s="157" t="n">
        <f aca="false">SUM(B18:B31)</f>
        <v>0</v>
      </c>
      <c r="C32" s="161" t="n">
        <f aca="false">SUM(C18:C31)</f>
        <v>1</v>
      </c>
      <c r="D32" s="157" t="n">
        <f aca="false">SUM(D18:D31)</f>
        <v>2</v>
      </c>
      <c r="E32" s="157" t="n">
        <f aca="false">SUM(E18:E31)</f>
        <v>3</v>
      </c>
      <c r="F32" s="161" t="n">
        <f aca="false">SUM(F21:F30)</f>
        <v>0</v>
      </c>
      <c r="G32" s="152"/>
      <c r="H32" s="158" t="s">
        <v>456</v>
      </c>
      <c r="I32" s="157" t="n">
        <f aca="false">SUM(I18:I31)</f>
        <v>0</v>
      </c>
      <c r="J32" s="164" t="n">
        <f aca="false">SUM(J18:J31)</f>
        <v>1</v>
      </c>
      <c r="K32" s="157" t="n">
        <f aca="false">SUM(K18:K31)</f>
        <v>2</v>
      </c>
      <c r="L32" s="157" t="n">
        <f aca="false">SUM(L18:L31)</f>
        <v>3</v>
      </c>
      <c r="M32" s="157" t="n">
        <f aca="false">SUM(M21:M30)</f>
        <v>0</v>
      </c>
      <c r="N32" s="147"/>
      <c r="O32" s="147"/>
      <c r="P32" s="147"/>
      <c r="Q32" s="147"/>
      <c r="R32" s="147"/>
      <c r="S32" s="147"/>
      <c r="T32" s="147"/>
    </row>
    <row r="33" customFormat="false" ht="15.75" hidden="false" customHeight="false" outlineLevel="0" collapsed="false">
      <c r="A33" s="149"/>
      <c r="B33" s="149"/>
      <c r="C33" s="149"/>
      <c r="D33" s="149"/>
      <c r="E33" s="149"/>
      <c r="F33" s="150"/>
      <c r="G33" s="147"/>
      <c r="H33" s="149"/>
      <c r="I33" s="149"/>
      <c r="J33" s="149"/>
      <c r="K33" s="149"/>
      <c r="L33" s="150"/>
      <c r="M33" s="150"/>
      <c r="N33" s="147"/>
      <c r="O33" s="147"/>
      <c r="P33" s="147"/>
      <c r="Q33" s="147"/>
      <c r="R33" s="147"/>
      <c r="S33" s="147"/>
      <c r="T33" s="147"/>
    </row>
    <row r="34" customFormat="false" ht="15.75" hidden="false" customHeight="false" outlineLevel="0" collapsed="false">
      <c r="A34" s="151" t="s">
        <v>459</v>
      </c>
      <c r="B34" s="151"/>
      <c r="C34" s="151"/>
      <c r="D34" s="151"/>
      <c r="E34" s="151"/>
      <c r="F34" s="166"/>
      <c r="G34" s="152"/>
      <c r="H34" s="167" t="s">
        <v>460</v>
      </c>
      <c r="I34" s="167"/>
      <c r="J34" s="167"/>
      <c r="K34" s="167"/>
      <c r="L34" s="167"/>
      <c r="M34" s="147"/>
      <c r="N34" s="147"/>
      <c r="O34" s="147"/>
      <c r="P34" s="147"/>
      <c r="Q34" s="147"/>
      <c r="R34" s="147"/>
      <c r="S34" s="147"/>
      <c r="T34" s="147"/>
    </row>
    <row r="35" customFormat="false" ht="15.75" hidden="false" customHeight="false" outlineLevel="0" collapsed="false">
      <c r="A35" s="168" t="s">
        <v>28</v>
      </c>
      <c r="B35" s="168"/>
      <c r="C35" s="168"/>
      <c r="D35" s="160" t="n">
        <f aca="false">SUM(E18:E20)</f>
        <v>0</v>
      </c>
      <c r="E35" s="160"/>
      <c r="F35" s="166"/>
      <c r="G35" s="152"/>
      <c r="H35" s="169" t="s">
        <v>28</v>
      </c>
      <c r="I35" s="169"/>
      <c r="J35" s="169"/>
      <c r="K35" s="170" t="n">
        <f aca="false">SUM(L18:L20)</f>
        <v>0</v>
      </c>
      <c r="L35" s="170"/>
      <c r="M35" s="147"/>
      <c r="N35" s="147"/>
      <c r="O35" s="147"/>
      <c r="P35" s="147"/>
      <c r="Q35" s="147"/>
      <c r="R35" s="147"/>
      <c r="S35" s="147"/>
      <c r="T35" s="147"/>
    </row>
    <row r="36" customFormat="false" ht="15.75" hidden="false" customHeight="false" outlineLevel="0" collapsed="false">
      <c r="A36" s="168" t="s">
        <v>461</v>
      </c>
      <c r="B36" s="168"/>
      <c r="C36" s="168"/>
      <c r="D36" s="160" t="n">
        <f aca="false">SUM(E21:E24)</f>
        <v>0</v>
      </c>
      <c r="E36" s="160"/>
      <c r="F36" s="166"/>
      <c r="G36" s="152"/>
      <c r="H36" s="169" t="s">
        <v>461</v>
      </c>
      <c r="I36" s="169"/>
      <c r="J36" s="169"/>
      <c r="K36" s="171" t="n">
        <f aca="false">SUM(L21:L24)</f>
        <v>0</v>
      </c>
      <c r="L36" s="171"/>
      <c r="M36" s="147"/>
      <c r="N36" s="147"/>
      <c r="O36" s="147"/>
      <c r="P36" s="147"/>
      <c r="Q36" s="147"/>
      <c r="R36" s="147"/>
      <c r="S36" s="147"/>
      <c r="T36" s="147"/>
    </row>
    <row r="37" customFormat="false" ht="15.75" hidden="false" customHeight="false" outlineLevel="0" collapsed="false">
      <c r="A37" s="168" t="s">
        <v>462</v>
      </c>
      <c r="B37" s="168"/>
      <c r="C37" s="168"/>
      <c r="D37" s="160" t="n">
        <f aca="false">SUM(E25:E27)</f>
        <v>2</v>
      </c>
      <c r="E37" s="160"/>
      <c r="F37" s="166"/>
      <c r="G37" s="152"/>
      <c r="H37" s="169" t="s">
        <v>462</v>
      </c>
      <c r="I37" s="169"/>
      <c r="J37" s="169"/>
      <c r="K37" s="171" t="n">
        <f aca="false">SUM(L25:L27)</f>
        <v>2</v>
      </c>
      <c r="L37" s="171"/>
      <c r="M37" s="147"/>
      <c r="N37" s="147"/>
      <c r="O37" s="147"/>
      <c r="P37" s="147"/>
      <c r="Q37" s="147"/>
      <c r="R37" s="147"/>
      <c r="S37" s="147"/>
      <c r="T37" s="147"/>
    </row>
    <row r="38" customFormat="false" ht="15.75" hidden="false" customHeight="false" outlineLevel="0" collapsed="false">
      <c r="A38" s="168" t="s">
        <v>463</v>
      </c>
      <c r="B38" s="168"/>
      <c r="C38" s="168"/>
      <c r="D38" s="160" t="n">
        <f aca="false">SUM(E28:E30)</f>
        <v>1</v>
      </c>
      <c r="E38" s="160"/>
      <c r="F38" s="166"/>
      <c r="G38" s="152"/>
      <c r="H38" s="169" t="s">
        <v>463</v>
      </c>
      <c r="I38" s="169"/>
      <c r="J38" s="169"/>
      <c r="K38" s="171" t="n">
        <f aca="false">SUM(L28:L30)</f>
        <v>1</v>
      </c>
      <c r="L38" s="171"/>
      <c r="M38" s="147"/>
      <c r="N38" s="147"/>
      <c r="O38" s="147"/>
      <c r="P38" s="147"/>
      <c r="Q38" s="147"/>
      <c r="R38" s="147"/>
      <c r="S38" s="147"/>
      <c r="T38" s="147"/>
    </row>
    <row r="39" customFormat="false" ht="15.75" hidden="false" customHeight="false" outlineLevel="0" collapsed="false">
      <c r="A39" s="150"/>
      <c r="B39" s="150"/>
      <c r="C39" s="150"/>
      <c r="D39" s="150"/>
      <c r="E39" s="150"/>
      <c r="F39" s="147"/>
      <c r="G39" s="147"/>
      <c r="H39" s="150"/>
      <c r="I39" s="150"/>
      <c r="J39" s="150"/>
      <c r="K39" s="150"/>
      <c r="L39" s="147"/>
      <c r="M39" s="147"/>
      <c r="N39" s="147"/>
      <c r="O39" s="147"/>
      <c r="P39" s="147"/>
      <c r="Q39" s="147"/>
      <c r="R39" s="147"/>
      <c r="S39" s="147"/>
      <c r="T39" s="147"/>
    </row>
    <row r="40" customFormat="false" ht="15.75" hidden="false" customHeight="false" outlineLevel="0" collapsed="false">
      <c r="A40" s="147"/>
      <c r="B40" s="147"/>
      <c r="C40" s="147"/>
      <c r="D40" s="147"/>
      <c r="E40" s="147"/>
      <c r="F40" s="147"/>
      <c r="G40" s="147"/>
      <c r="H40" s="147"/>
      <c r="I40" s="147"/>
      <c r="J40" s="147"/>
      <c r="K40" s="147"/>
      <c r="L40" s="147"/>
      <c r="M40" s="147"/>
      <c r="N40" s="147"/>
      <c r="O40" s="147"/>
      <c r="P40" s="147"/>
      <c r="Q40" s="147"/>
      <c r="R40" s="147"/>
      <c r="S40" s="147"/>
      <c r="T40" s="147"/>
    </row>
    <row r="41" customFormat="false" ht="15.75" hidden="false" customHeight="false" outlineLevel="0" collapsed="false">
      <c r="A41" s="148" t="s">
        <v>464</v>
      </c>
      <c r="B41" s="148"/>
      <c r="C41" s="148"/>
      <c r="D41" s="148"/>
      <c r="E41" s="148"/>
      <c r="F41" s="148"/>
      <c r="G41" s="148"/>
      <c r="H41" s="148"/>
      <c r="I41" s="148"/>
      <c r="J41" s="148"/>
      <c r="K41" s="148"/>
      <c r="L41" s="148"/>
      <c r="M41" s="148"/>
      <c r="N41" s="147"/>
      <c r="O41" s="147"/>
      <c r="P41" s="147"/>
      <c r="Q41" s="147"/>
      <c r="R41" s="147"/>
      <c r="S41" s="147"/>
      <c r="T41" s="147"/>
    </row>
    <row r="42" customFormat="false" ht="15.75" hidden="false" customHeight="false" outlineLevel="0" collapsed="false">
      <c r="A42" s="149"/>
      <c r="B42" s="149"/>
      <c r="C42" s="149"/>
      <c r="D42" s="149"/>
      <c r="E42" s="149"/>
      <c r="F42" s="150"/>
      <c r="G42" s="150"/>
      <c r="H42" s="149"/>
      <c r="I42" s="149"/>
      <c r="J42" s="149"/>
      <c r="K42" s="149"/>
      <c r="L42" s="149"/>
      <c r="M42" s="150"/>
      <c r="N42" s="147"/>
      <c r="O42" s="147"/>
      <c r="P42" s="147"/>
      <c r="Q42" s="147"/>
      <c r="R42" s="147"/>
      <c r="S42" s="147"/>
      <c r="T42" s="147"/>
    </row>
    <row r="43" customFormat="false" ht="15.75" hidden="false" customHeight="false" outlineLevel="0" collapsed="false">
      <c r="A43" s="172" t="s">
        <v>452</v>
      </c>
      <c r="B43" s="173" t="s">
        <v>20</v>
      </c>
      <c r="C43" s="173" t="s">
        <v>21</v>
      </c>
      <c r="D43" s="173" t="s">
        <v>22</v>
      </c>
      <c r="E43" s="173" t="s">
        <v>453</v>
      </c>
      <c r="F43" s="174"/>
      <c r="G43" s="152"/>
      <c r="H43" s="175" t="s">
        <v>465</v>
      </c>
      <c r="I43" s="176" t="s">
        <v>20</v>
      </c>
      <c r="J43" s="176" t="s">
        <v>21</v>
      </c>
      <c r="K43" s="176" t="s">
        <v>22</v>
      </c>
      <c r="L43" s="177" t="s">
        <v>453</v>
      </c>
      <c r="M43" s="174"/>
      <c r="N43" s="147"/>
      <c r="O43" s="147"/>
      <c r="P43" s="147"/>
      <c r="Q43" s="147"/>
      <c r="R43" s="147"/>
      <c r="S43" s="147"/>
      <c r="T43" s="147"/>
    </row>
    <row r="44" customFormat="false" ht="15.75" hidden="false" customHeight="false" outlineLevel="0" collapsed="false">
      <c r="A44" s="178" t="s">
        <v>51</v>
      </c>
      <c r="B44" s="156" t="n">
        <f aca="true">COUNTIFS('Game History'!A:A,("&gt;"&amp;(TODAY()-365)),'Game History'!G:G,"MRDA",'Game History'!H:H,"Champs",'Game History'!I:I,Instructions!A68)+COUNTIFS('Game History'!A:A,("&gt;"&amp;(TODAY()-365)),'Game History'!G:G,"MRDA",'Game History'!H:H,"Playoff",'Game History'!I:I,Instructions!A68)</f>
        <v>0</v>
      </c>
      <c r="C44" s="156" t="n">
        <f aca="true">COUNTIFS('Game History'!A:A,("&gt;"&amp;(TODAY()-365)),'Game History'!G:G,"MRDA",'Game History'!H:H,"Sanc",'Game History'!I:I,Instructions!A68)</f>
        <v>0</v>
      </c>
      <c r="D44" s="156" t="n">
        <f aca="true">COUNTIFS('Game History'!A:A,("&gt;"&amp;(TODAY()-365)),'Game History'!G:G,"MRDA",'Game History'!H:H,"Reg",'Game History'!I:I,Instructions!A68)</f>
        <v>0</v>
      </c>
      <c r="E44" s="157" t="n">
        <f aca="false">SUM(B44,C44,D44)</f>
        <v>0</v>
      </c>
      <c r="F44" s="147"/>
      <c r="G44" s="152"/>
      <c r="H44" s="179" t="s">
        <v>51</v>
      </c>
      <c r="I44" s="156" t="n">
        <f aca="true">COUNTIFS('Game History'!A:A,("&gt;"&amp;(TODAY()-548)),'Game History'!G:G,"MRDA",'Game History'!H:H,"Champs",'Game History'!I:I,Instructions!A68)+COUNTIFS('Game History'!A:A,("&gt;"&amp;(TODAY()-548)),'Game History'!G:G,"MRDA",'Game History'!H:H,"Playoff",'Game History'!I:I,Instructions!A68)</f>
        <v>0</v>
      </c>
      <c r="J44" s="156" t="n">
        <f aca="true">COUNTIFS('Game History'!A:A,("&gt;"&amp;(TODAY()-548)),'Game History'!G:G,"MRDA",'Game History'!H:H,"Sanc",'Game History'!I:I,Instructions!A68)</f>
        <v>0</v>
      </c>
      <c r="K44" s="156" t="n">
        <f aca="true">COUNTIFS('Game History'!A:A,("&gt;"&amp;(TODAY()-548)),'Game History'!G:G,"MRDA",'Game History'!H:H,"Reg",'Game History'!I:I,Instructions!A68)</f>
        <v>0</v>
      </c>
      <c r="L44" s="157" t="n">
        <f aca="false">SUM(I44,J44,K44)</f>
        <v>0</v>
      </c>
      <c r="M44" s="147"/>
      <c r="N44" s="147"/>
      <c r="O44" s="147"/>
      <c r="P44" s="147"/>
      <c r="Q44" s="147"/>
      <c r="R44" s="147"/>
      <c r="S44" s="147"/>
      <c r="T44" s="147"/>
    </row>
    <row r="45" customFormat="false" ht="15.75" hidden="false" customHeight="false" outlineLevel="0" collapsed="false">
      <c r="A45" s="178" t="s">
        <v>55</v>
      </c>
      <c r="B45" s="156" t="n">
        <f aca="true">COUNTIFS('Game History'!A:A,("&gt;"&amp;(TODAY()-365)),'Game History'!G:G,"MRDA",'Game History'!H:H,"Champs",'Game History'!I:I,Instructions!A69)+COUNTIFS('Game History'!A:A,("&gt;"&amp;(TODAY()-365)),'Game History'!G:G,"MRDA",'Game History'!H:H,"Playoff",'Game History'!I:I,Instructions!A69)+COUNTIFS('Game History'!A:A,("&gt;"&amp;(TODAY()-365)),'Game History'!G:G,"MRDA",'Game History'!H:H,"Champs",'Game History'!I:I,Instructions!A70)+COUNTIFS('Game History'!A:A,("&gt;"&amp;(TODAY()-365)),'Game History'!G:G,"MRDA",'Game History'!H:H,"Playoff",'Game History'!I:I,Instructions!A70)</f>
        <v>0</v>
      </c>
      <c r="C45" s="156" t="n">
        <f aca="true">COUNTIFS('Game History'!A:A,("&gt;"&amp;(TODAY()-365)),'Game History'!G:G,"MRDA",'Game History'!H:H,"Sanc",'Game History'!I:I,Instructions!A69)</f>
        <v>0</v>
      </c>
      <c r="D45" s="156" t="n">
        <f aca="true">COUNTIFS('Game History'!A:A,("&gt;"&amp;(TODAY()-365)),'Game History'!G:G,"MRDA",'Game History'!H:H,"Reg",'Game History'!I:I,Instructions!A69)</f>
        <v>0</v>
      </c>
      <c r="E45" s="157" t="n">
        <f aca="false">SUM(B45,C45,D45)</f>
        <v>0</v>
      </c>
      <c r="F45" s="147"/>
      <c r="G45" s="152"/>
      <c r="H45" s="179" t="s">
        <v>55</v>
      </c>
      <c r="I45" s="156" t="n">
        <f aca="true">COUNTIFS('Game History'!A:A,("&gt;"&amp;(TODAY()-548)),'Game History'!G:G,"MRDA",'Game History'!H:H,"Champs",'Game History'!I:I,Instructions!A69)+COUNTIFS('Game History'!A:A,("&gt;"&amp;(TODAY()-548)),'Game History'!G:G,"MRDA",'Game History'!H:H,"Playoff",'Game History'!I:I,Instructions!A69)+COUNTIFS('Game History'!A:A,("&gt;"&amp;(TODAY()-548)),'Game History'!G:G,"MRDA",'Game History'!H:H,"Champs",'Game History'!I:I,Instructions!A70)+COUNTIFS('Game History'!A:A,("&gt;"&amp;(TODAY()-548)),'Game History'!G:G,"MRDA",'Game History'!H:H,"Playoff",'Game History'!I:I,Instructions!A70)</f>
        <v>0</v>
      </c>
      <c r="J45" s="156" t="n">
        <f aca="true">COUNTIFS('Game History'!A:A,("&gt;"&amp;(TODAY()-548)),'Game History'!G:G,"MRDA",'Game History'!H:H,"Sanc",'Game History'!I:I,Instructions!A69)</f>
        <v>0</v>
      </c>
      <c r="K45" s="156" t="n">
        <f aca="true">COUNTIFS('Game History'!A:A,("&gt;"&amp;(TODAY()-548)),'Game History'!G:G,"MRDA",'Game History'!H:H,"Reg",'Game History'!I:I,Instructions!A69)</f>
        <v>0</v>
      </c>
      <c r="L45" s="157" t="n">
        <f aca="false">SUM(I45,J45,K45)</f>
        <v>0</v>
      </c>
      <c r="M45" s="147"/>
      <c r="N45" s="147"/>
      <c r="O45" s="147"/>
      <c r="P45" s="147"/>
      <c r="Q45" s="147"/>
      <c r="R45" s="147"/>
      <c r="S45" s="147"/>
      <c r="T45" s="147"/>
    </row>
    <row r="46" customFormat="false" ht="15.75" hidden="false" customHeight="false" outlineLevel="0" collapsed="false">
      <c r="A46" s="178" t="s">
        <v>25</v>
      </c>
      <c r="B46" s="108" t="s">
        <v>26</v>
      </c>
      <c r="C46" s="156" t="n">
        <f aca="true">COUNTIFS('Game History'!A:A,("&gt;"&amp;(TODAY()-365)),'Game History'!G:G,"MRDA",'Game History'!H:H,"Sanc",'Game History'!I:I,Instructions!A70)</f>
        <v>0</v>
      </c>
      <c r="D46" s="156" t="n">
        <f aca="true">COUNTIFS('Game History'!A:A,("&gt;"&amp;(TODAY()-365)),'Game History'!G:G,"MRDA",'Game History'!H:H,"Reg",'Game History'!I:I,Instructions!A70)</f>
        <v>0</v>
      </c>
      <c r="E46" s="157" t="n">
        <f aca="false">SUM(C46+D46)</f>
        <v>0</v>
      </c>
      <c r="F46" s="147"/>
      <c r="G46" s="152"/>
      <c r="H46" s="179" t="s">
        <v>25</v>
      </c>
      <c r="I46" s="108" t="s">
        <v>26</v>
      </c>
      <c r="J46" s="156" t="n">
        <f aca="true">COUNTIFS('Game History'!A:A,("&gt;"&amp;(TODAY()-548)),'Game History'!G:G,"MRDA",'Game History'!H:H,"Sanc",'Game History'!I:I,Instructions!A70)</f>
        <v>0</v>
      </c>
      <c r="K46" s="156" t="n">
        <f aca="true">COUNTIFS('Game History'!A:A,("&gt;"&amp;(TODAY()-548)),'Game History'!G:G,"MRDA",'Game History'!H:H,"Reg",'Game History'!I:I,Instructions!A70)</f>
        <v>0</v>
      </c>
      <c r="L46" s="157" t="n">
        <f aca="false">SUM(J46+K46)</f>
        <v>0</v>
      </c>
      <c r="M46" s="147"/>
      <c r="N46" s="147"/>
      <c r="O46" s="147"/>
      <c r="P46" s="147"/>
      <c r="Q46" s="147"/>
      <c r="R46" s="147"/>
      <c r="S46" s="147"/>
      <c r="T46" s="147"/>
    </row>
    <row r="47" customFormat="false" ht="15.75" hidden="false" customHeight="false" outlineLevel="0" collapsed="false">
      <c r="A47" s="178" t="s">
        <v>30</v>
      </c>
      <c r="B47" s="156" t="n">
        <f aca="true">COUNTIFS('Game History'!A:A,("&gt;"&amp;(TODAY()-365)),'Game History'!G:G,"MRDA",'Game History'!H:H,"Champs",'Game History'!I:I,Instructions!A74)+COUNTIFS('Game History'!A:A,("&gt;"&amp;(TODAY()-365)),'Game History'!G:G,"MRDA",'Game History'!H:H,"Playoff",'Game History'!I:I,Instructions!A74)+COUNTIFS('Game History'!A:A,("&gt;"&amp;(TODAY()-365)),'Game History'!G:G,"MRDA",'Game History'!H:H,"Champs",'Game History'!J:J,Instructions!A74)+COUNTIFS('Game History'!A:A,("&gt;"&amp;(TODAY()-365)),'Game History'!G:G,"MRDA",'Game History'!H:H,"Playoff",'Game History'!J:J,Instructions!A74)</f>
        <v>0</v>
      </c>
      <c r="C47" s="156" t="n">
        <f aca="true">COUNTIFS('Game History'!A:A,("&gt;"&amp;(TODAY()-365)),'Game History'!G:G,"MRDA",'Game History'!H:H,"Sanc",'Game History'!I:I,Instructions!A74)+COUNTIFS('Game History'!A:A,("&gt;"&amp;(TODAY()-365)),'Game History'!G:G,"MRDA",'Game History'!H:H,"Sanc",'Game History'!J:J,Instructions!A74)</f>
        <v>0</v>
      </c>
      <c r="D47" s="156" t="n">
        <f aca="true">COUNTIFS('Game History'!A:A,("&gt;"&amp;(TODAY()-365)),'Game History'!G:G,"MRDA",'Game History'!H:H,"Reg",'Game History'!I:I,Instructions!A74)+COUNTIFS('Game History'!A:A,("&gt;"&amp;(TODAY()-365)),'Game History'!G:G,"MRDA",'Game History'!H:H,"Reg",'Game History'!J:J,Instructions!A74)</f>
        <v>0</v>
      </c>
      <c r="E47" s="157" t="n">
        <f aca="false">SUM(B47,C47,D47)</f>
        <v>0</v>
      </c>
      <c r="F47" s="12"/>
      <c r="G47" s="152"/>
      <c r="H47" s="179" t="s">
        <v>30</v>
      </c>
      <c r="I47" s="156" t="n">
        <f aca="true">COUNTIFS('Game History'!A:A,("&gt;"&amp;(TODAY()-548)),'Game History'!G:G,"MRDA",'Game History'!H:H,"Champs",'Game History'!I:I,Instructions!A74)+COUNTIFS('Game History'!A:A,("&gt;"&amp;(TODAY()-548)),'Game History'!G:G,"MRDA",'Game History'!H:H,"Playoff",'Game History'!I:I,Instructions!A74)+COUNTIFS('Game History'!A:A,("&gt;"&amp;(TODAY()-548)),'Game History'!G:G,"MRDA",'Game History'!H:H,"Champs",'Game History'!J:J,Instructions!A74)+COUNTIFS('Game History'!A:A,("&gt;"&amp;(TODAY()-548)),'Game History'!G:G,"MRDA",'Game History'!H:H,"Playoff",'Game History'!J:J,Instructions!A74)</f>
        <v>0</v>
      </c>
      <c r="J47" s="156" t="n">
        <f aca="true">COUNTIFS('Game History'!A:A,("&gt;"&amp;(TODAY()-548)),'Game History'!G:G,"MRDA",'Game History'!H:H,"Sanc",'Game History'!I:I,Instructions!A74)+COUNTIFS('Game History'!A:A,("&gt;"&amp;(TODAY()-548)),'Game History'!G:G,"MRDA",'Game History'!H:H,"Sanc",'Game History'!J:J,Instructions!A74)</f>
        <v>0</v>
      </c>
      <c r="K47" s="156" t="n">
        <f aca="true">COUNTIFS('Game History'!A:A,("&gt;"&amp;(TODAY()-548)),'Game History'!G:G,"MRDA",'Game History'!H:H,"Reg",'Game History'!I:I,Instructions!A74)+COUNTIFS('Game History'!A:A,("&gt;"&amp;(TODAY()-548)),'Game History'!G:G,"MRDA",'Game History'!H:H,"Reg",'Game History'!J:J,Instructions!A74)</f>
        <v>0</v>
      </c>
      <c r="L47" s="157" t="n">
        <f aca="false">SUM(I47,J47,K47)</f>
        <v>0</v>
      </c>
      <c r="M47" s="12"/>
      <c r="N47" s="147"/>
      <c r="O47" s="147"/>
      <c r="P47" s="147"/>
      <c r="Q47" s="147"/>
      <c r="R47" s="147"/>
      <c r="S47" s="147"/>
      <c r="T47" s="147"/>
    </row>
    <row r="48" customFormat="false" ht="15.75" hidden="false" customHeight="false" outlineLevel="0" collapsed="false">
      <c r="A48" s="178" t="s">
        <v>34</v>
      </c>
      <c r="B48" s="156" t="n">
        <f aca="true">COUNTIFS('Game History'!A:A,("&gt;"&amp;(TODAY()-365)),'Game History'!G:G,"MRDA",'Game History'!H:H,"Champs",'Game History'!I:I,Instructions!A75)+COUNTIFS('Game History'!A:A,("&gt;"&amp;(TODAY()-365)),'Game History'!G:G,"MRDA",'Game History'!H:H,"Playoff",'Game History'!I:I,Instructions!A75)+COUNTIFS('Game History'!A:A,("&gt;"&amp;(TODAY()-365)),'Game History'!G:G,"MRDA",'Game History'!H:H,"Champs",'Game History'!J:J,Instructions!A75)+COUNTIFS('Game History'!A:A,("&gt;"&amp;(TODAY()-365)),'Game History'!G:G,"MRDA",'Game History'!H:H,"Playoff",'Game History'!J:J,Instructions!A75)</f>
        <v>0</v>
      </c>
      <c r="C48" s="156" t="n">
        <f aca="true">COUNTIFS('Game History'!A:A,("&gt;"&amp;(TODAY()-365)),'Game History'!G:G,"MRDA",'Game History'!H:H,"Sanc",'Game History'!I:I,Instructions!A75)+COUNTIFS('Game History'!A:A,("&gt;"&amp;(TODAY()-365)),'Game History'!G:G,"MRDA",'Game History'!H:H,"Sanc",'Game History'!J:J,Instructions!A75)</f>
        <v>0</v>
      </c>
      <c r="D48" s="156" t="n">
        <f aca="true">COUNTIFS('Game History'!A:A,("&gt;"&amp;(TODAY()-365)),'Game History'!G:G,"MRDA",'Game History'!H:H,"Reg",'Game History'!I:I,Instructions!A75)+COUNTIFS('Game History'!A:A,("&gt;"&amp;(TODAY()-365)),'Game History'!G:G,"MRDA",'Game History'!H:H,"Reg",'Game History'!J:J,Instructions!A75)</f>
        <v>0</v>
      </c>
      <c r="E48" s="157" t="n">
        <f aca="false">SUM(B48,C48,D48)</f>
        <v>0</v>
      </c>
      <c r="F48" s="12"/>
      <c r="G48" s="152"/>
      <c r="H48" s="179" t="s">
        <v>34</v>
      </c>
      <c r="I48" s="156" t="n">
        <f aca="true">COUNTIFS('Game History'!A:A,("&gt;"&amp;(TODAY()-548)),'Game History'!G:G,"MRDA",'Game History'!H:H,"Champs",'Game History'!I:I,Instructions!A75)+COUNTIFS('Game History'!A:A,("&gt;"&amp;(TODAY()-548)),'Game History'!G:G,"MRDA",'Game History'!H:H,"Playoff",'Game History'!I:I,Instructions!A75)+COUNTIFS('Game History'!A:A,("&gt;"&amp;(TODAY()-548)),'Game History'!G:G,"MRDA",'Game History'!H:H,"Champs",'Game History'!J:J,Instructions!A75)+COUNTIFS('Game History'!A:A,("&gt;"&amp;(TODAY()-548)),'Game History'!G:G,"MRDA",'Game History'!H:H,"Playoff",'Game History'!J:J,Instructions!A75)</f>
        <v>0</v>
      </c>
      <c r="J48" s="156" t="n">
        <f aca="true">COUNTIFS('Game History'!A:A,("&gt;"&amp;(TODAY()-548)),'Game History'!G:G,"MRDA",'Game History'!H:H,"Sanc",'Game History'!I:I,Instructions!A75)+COUNTIFS('Game History'!A:A,("&gt;"&amp;(TODAY()-548)),'Game History'!G:G,"MRDA",'Game History'!H:H,"Sanc",'Game History'!J:J,Instructions!A75)</f>
        <v>0</v>
      </c>
      <c r="K48" s="156" t="n">
        <f aca="true">COUNTIFS('Game History'!A:A,("&gt;"&amp;(TODAY()-548)),'Game History'!G:G,"MRDA",'Game History'!H:H,"Reg",'Game History'!I:I,Instructions!A75)+COUNTIFS('Game History'!A:A,("&gt;"&amp;(TODAY()-548)),'Game History'!G:G,"MRDA",'Game History'!H:H,"Reg",'Game History'!J:J,Instructions!A75)</f>
        <v>0</v>
      </c>
      <c r="L48" s="157" t="n">
        <f aca="false">SUM(I48,J48,K48)</f>
        <v>0</v>
      </c>
      <c r="M48" s="12"/>
      <c r="N48" s="147"/>
      <c r="O48" s="147"/>
      <c r="P48" s="147"/>
      <c r="Q48" s="147"/>
      <c r="R48" s="147"/>
      <c r="S48" s="147"/>
      <c r="T48" s="147"/>
    </row>
    <row r="49" customFormat="false" ht="15.75" hidden="false" customHeight="false" outlineLevel="0" collapsed="false">
      <c r="A49" s="178" t="s">
        <v>38</v>
      </c>
      <c r="B49" s="156" t="n">
        <f aca="true">COUNTIFS('Game History'!A:A,("&gt;"&amp;(TODAY()-365)),'Game History'!G:G,"MRDA",'Game History'!H:H,"Champs",'Game History'!I:I,Instructions!A76)+COUNTIFS('Game History'!A:A,("&gt;"&amp;(TODAY()-365)),'Game History'!G:G,"MRDA",'Game History'!H:H,"Playoff",'Game History'!I:I,Instructions!A76)+COUNTIFS('Game History'!A:A,("&gt;"&amp;(TODAY()-365)),'Game History'!G:G,"MRDA",'Game History'!H:H,"Champs",'Game History'!J:J,Instructions!A76)+COUNTIFS('Game History'!A:A,("&gt;"&amp;(TODAY()-365)),'Game History'!G:G,"MRDA",'Game History'!H:H,"Playoff",'Game History'!J:J,Instructions!A76)</f>
        <v>0</v>
      </c>
      <c r="C49" s="156" t="n">
        <f aca="true">COUNTIFS('Game History'!A:A,("&gt;"&amp;(TODAY()-365)),'Game History'!G:G,"MRDA",'Game History'!H:H,"Sanc",'Game History'!I:I,Instructions!A76)+COUNTIFS('Game History'!A:A,("&gt;"&amp;(TODAY()-365)),'Game History'!G:G,"MRDA",'Game History'!H:H,"Sanc",'Game History'!J:J,Instructions!A76)</f>
        <v>0</v>
      </c>
      <c r="D49" s="156" t="n">
        <f aca="true">COUNTIFS('Game History'!A:A,("&gt;"&amp;(TODAY()-365)),'Game History'!G:G,"MRDA",'Game History'!H:H,"Reg",'Game History'!I:I,Instructions!A76)+COUNTIFS('Game History'!A:A,("&gt;"&amp;(TODAY()-365)),'Game History'!G:G,"MRDA",'Game History'!H:H,"Reg",'Game History'!J:J,Instructions!A76)</f>
        <v>0</v>
      </c>
      <c r="E49" s="157" t="n">
        <f aca="false">SUM(B49,C49,D49)</f>
        <v>0</v>
      </c>
      <c r="F49" s="147"/>
      <c r="G49" s="152"/>
      <c r="H49" s="179" t="s">
        <v>38</v>
      </c>
      <c r="I49" s="156" t="n">
        <f aca="true">COUNTIFS('Game History'!A:A,("&gt;"&amp;(TODAY()-548)),'Game History'!G:G,"MRDA",'Game History'!H:H,"Champs",'Game History'!I:I,Instructions!A76)+COUNTIFS('Game History'!A:A,("&gt;"&amp;(TODAY()-548)),'Game History'!G:G,"MRDA",'Game History'!H:H,"Playoff",'Game History'!I:I,Instructions!A76)+COUNTIFS('Game History'!A:A,("&gt;"&amp;(TODAY()-548)),'Game History'!G:G,"MRDA",'Game History'!H:H,"Champs",'Game History'!J:J,Instructions!A76)+COUNTIFS('Game History'!A:A,("&gt;"&amp;(TODAY()-548)),'Game History'!G:G,"MRDA",'Game History'!H:H,"Playoff",'Game History'!J:J,Instructions!A76)</f>
        <v>0</v>
      </c>
      <c r="J49" s="156" t="n">
        <f aca="true">COUNTIFS('Game History'!A:A,("&gt;"&amp;(TODAY()-548)),'Game History'!G:G,"MRDA",'Game History'!H:H,"Sanc",'Game History'!I:I,Instructions!A76)+COUNTIFS('Game History'!A:A,("&gt;"&amp;(TODAY()-548)),'Game History'!G:G,"MRDA",'Game History'!H:H,"Sanc",'Game History'!J:J,Instructions!A76)</f>
        <v>0</v>
      </c>
      <c r="K49" s="156" t="n">
        <f aca="true">COUNTIFS('Game History'!A:A,("&gt;"&amp;(TODAY()-548)),'Game History'!G:G,"MRDA",'Game History'!H:H,"Reg",'Game History'!I:I,Instructions!A76)+COUNTIFS('Game History'!A:A,("&gt;"&amp;(TODAY()-548)),'Game History'!G:G,"MRDA",'Game History'!H:H,"Reg",'Game History'!J:J,Instructions!A76)</f>
        <v>0</v>
      </c>
      <c r="L49" s="157" t="n">
        <f aca="false">SUM(I49,J49,K49)</f>
        <v>0</v>
      </c>
      <c r="M49" s="147"/>
      <c r="N49" s="147"/>
      <c r="O49" s="147"/>
      <c r="P49" s="147"/>
      <c r="Q49" s="147"/>
      <c r="R49" s="147"/>
      <c r="S49" s="147"/>
      <c r="T49" s="147"/>
    </row>
    <row r="50" customFormat="false" ht="15.75" hidden="false" customHeight="false" outlineLevel="0" collapsed="false">
      <c r="A50" s="178" t="s">
        <v>455</v>
      </c>
      <c r="B50" s="156" t="n">
        <f aca="true">COUNTIFS('Game History'!A:A,("&gt;"&amp;(TODAY()-365)),'Game History'!G:G,"MRDA",'Game History'!H:H,"Champs",'Game History'!I:I,Instructions!A87)+COUNTIFS('Game History'!A:A,("&gt;"&amp;(TODAY()-365)),'Game History'!G:G,"MRDA",'Game History'!H:H,"Playoff",'Game History'!I:I,Instructions!A87)</f>
        <v>0</v>
      </c>
      <c r="C50" s="156" t="n">
        <f aca="true">COUNTIFS('Game History'!A:A,("&gt;"&amp;(TODAY()-365)),'Game History'!G:G,"MRDA",'Game History'!H:H,"Sanc",'Game History'!I:I,Instructions!A87)</f>
        <v>0</v>
      </c>
      <c r="D50" s="156" t="n">
        <f aca="true">COUNTIFS('Game History'!A:A,("&gt;"&amp;(TODAY()-365)),'Game History'!G:G,"MRDA",'Game History'!H:H,"Reg",'Game History'!I:I,Instructions!A87)</f>
        <v>0</v>
      </c>
      <c r="E50" s="157" t="n">
        <f aca="false">SUM(B50,C50,D50)</f>
        <v>0</v>
      </c>
      <c r="F50" s="147"/>
      <c r="G50" s="152"/>
      <c r="H50" s="179" t="s">
        <v>455</v>
      </c>
      <c r="I50" s="156" t="n">
        <f aca="true">COUNTIFS('Game History'!A:A,("&gt;"&amp;(TODAY()-548)),'Game History'!G:G,"MRDA",'Game History'!H:H,"Champs",'Game History'!I:I,Instructions!A87)+COUNTIFS('Game History'!A:A,("&gt;"&amp;(TODAY()-548)),'Game History'!G:G,"MRDA",'Game History'!H:H,"Playoff",'Game History'!I:I,Instructions!A87)</f>
        <v>0</v>
      </c>
      <c r="J50" s="156" t="n">
        <f aca="true">COUNTIFS('Game History'!A:A,("&gt;"&amp;(TODAY()-548)),'Game History'!G:G,"MRDA",'Game History'!H:H,"Sanc",'Game History'!I:I,Instructions!A87)</f>
        <v>0</v>
      </c>
      <c r="K50" s="156" t="n">
        <f aca="true">COUNTIFS('Game History'!A:A,("&gt;"&amp;(TODAY()-548)),'Game History'!G:G,"MRDA",'Game History'!H:H,"Reg",'Game History'!I:I,Instructions!A87)</f>
        <v>0</v>
      </c>
      <c r="L50" s="157" t="n">
        <f aca="false">SUM(I50,J50,K50)</f>
        <v>0</v>
      </c>
      <c r="M50" s="147"/>
      <c r="N50" s="147"/>
      <c r="O50" s="147"/>
      <c r="P50" s="147"/>
      <c r="Q50" s="147"/>
      <c r="R50" s="147"/>
      <c r="S50" s="147"/>
      <c r="T50" s="147"/>
    </row>
    <row r="51" customFormat="false" ht="15.75" hidden="false" customHeight="false" outlineLevel="0" collapsed="false">
      <c r="A51" s="178" t="s">
        <v>456</v>
      </c>
      <c r="B51" s="157" t="n">
        <f aca="false">SUM(B44:B50)</f>
        <v>0</v>
      </c>
      <c r="C51" s="157" t="n">
        <f aca="false">SUM(C44:C50)</f>
        <v>0</v>
      </c>
      <c r="D51" s="157" t="n">
        <f aca="false">SUM(D44:D50)</f>
        <v>0</v>
      </c>
      <c r="E51" s="157" t="n">
        <f aca="false">SUM(E44:E50)</f>
        <v>0</v>
      </c>
      <c r="F51" s="147"/>
      <c r="G51" s="152"/>
      <c r="H51" s="179" t="s">
        <v>456</v>
      </c>
      <c r="I51" s="157" t="n">
        <f aca="false">SUM(I44:I50)</f>
        <v>0</v>
      </c>
      <c r="J51" s="157" t="n">
        <f aca="false">SUM(J44:J50)</f>
        <v>0</v>
      </c>
      <c r="K51" s="157" t="n">
        <f aca="false">SUM(K44:K50)</f>
        <v>0</v>
      </c>
      <c r="L51" s="157" t="n">
        <f aca="false">SUM(L44:L50)</f>
        <v>0</v>
      </c>
      <c r="M51" s="147"/>
      <c r="N51" s="147"/>
      <c r="O51" s="147"/>
      <c r="P51" s="147"/>
      <c r="Q51" s="147"/>
      <c r="R51" s="147"/>
      <c r="S51" s="147"/>
      <c r="T51" s="147"/>
    </row>
    <row r="52" customFormat="false" ht="15.75" hidden="false" customHeight="false" outlineLevel="0" collapsed="false">
      <c r="A52" s="147"/>
      <c r="B52" s="147"/>
      <c r="C52" s="147"/>
      <c r="D52" s="147"/>
      <c r="E52" s="147"/>
      <c r="F52" s="147"/>
      <c r="G52" s="147"/>
      <c r="H52" s="147"/>
      <c r="I52" s="147"/>
      <c r="J52" s="147"/>
      <c r="K52" s="147"/>
      <c r="L52" s="147"/>
      <c r="M52" s="147"/>
      <c r="N52" s="147"/>
      <c r="O52" s="147"/>
      <c r="P52" s="147"/>
      <c r="Q52" s="147"/>
      <c r="R52" s="147"/>
      <c r="S52" s="147"/>
      <c r="T52" s="147"/>
    </row>
    <row r="53" customFormat="false" ht="15.75" hidden="false" customHeight="false" outlineLevel="0" collapsed="false">
      <c r="A53" s="147"/>
      <c r="B53" s="147"/>
      <c r="C53" s="147"/>
      <c r="D53" s="147"/>
      <c r="E53" s="147"/>
      <c r="F53" s="147"/>
      <c r="G53" s="147"/>
      <c r="H53" s="147"/>
      <c r="I53" s="147"/>
      <c r="J53" s="147"/>
      <c r="K53" s="147"/>
      <c r="L53" s="147"/>
      <c r="M53" s="147"/>
      <c r="N53" s="147"/>
      <c r="O53" s="147"/>
      <c r="P53" s="147"/>
      <c r="Q53" s="147"/>
      <c r="R53" s="147"/>
      <c r="S53" s="147"/>
      <c r="T53" s="147"/>
    </row>
    <row r="54" customFormat="false" ht="15.75" hidden="false" customHeight="false" outlineLevel="0" collapsed="false">
      <c r="A54" s="148" t="s">
        <v>466</v>
      </c>
      <c r="B54" s="148"/>
      <c r="C54" s="148"/>
      <c r="D54" s="148"/>
      <c r="E54" s="148"/>
      <c r="F54" s="148"/>
      <c r="G54" s="148"/>
      <c r="H54" s="148"/>
      <c r="I54" s="148"/>
      <c r="J54" s="148"/>
      <c r="K54" s="148"/>
      <c r="L54" s="148"/>
      <c r="M54" s="148"/>
      <c r="N54" s="147"/>
      <c r="O54" s="147"/>
      <c r="P54" s="147"/>
      <c r="Q54" s="147"/>
      <c r="R54" s="147"/>
      <c r="S54" s="147"/>
      <c r="T54" s="147"/>
    </row>
    <row r="55" customFormat="false" ht="15.75" hidden="false" customHeight="false" outlineLevel="0" collapsed="false">
      <c r="A55" s="149"/>
      <c r="B55" s="149"/>
      <c r="C55" s="149"/>
      <c r="D55" s="149"/>
      <c r="E55" s="149"/>
      <c r="F55" s="150"/>
      <c r="G55" s="150"/>
      <c r="H55" s="150"/>
      <c r="I55" s="150"/>
      <c r="J55" s="149"/>
      <c r="K55" s="149"/>
      <c r="L55" s="149"/>
      <c r="M55" s="150"/>
      <c r="N55" s="147"/>
      <c r="O55" s="147"/>
      <c r="P55" s="147"/>
      <c r="Q55" s="147"/>
      <c r="R55" s="147"/>
      <c r="S55" s="147"/>
      <c r="T55" s="147"/>
    </row>
    <row r="56" customFormat="false" ht="15.75" hidden="false" customHeight="false" outlineLevel="0" collapsed="false">
      <c r="A56" s="172" t="s">
        <v>452</v>
      </c>
      <c r="B56" s="173" t="s">
        <v>20</v>
      </c>
      <c r="C56" s="173" t="s">
        <v>21</v>
      </c>
      <c r="D56" s="173" t="s">
        <v>22</v>
      </c>
      <c r="E56" s="173" t="s">
        <v>453</v>
      </c>
      <c r="F56" s="174"/>
      <c r="G56" s="174"/>
      <c r="H56" s="175" t="s">
        <v>454</v>
      </c>
      <c r="I56" s="176" t="s">
        <v>20</v>
      </c>
      <c r="J56" s="176" t="s">
        <v>21</v>
      </c>
      <c r="K56" s="176" t="s">
        <v>22</v>
      </c>
      <c r="L56" s="176" t="s">
        <v>453</v>
      </c>
      <c r="M56" s="174"/>
      <c r="Q56" s="174"/>
      <c r="R56" s="174"/>
      <c r="S56" s="147"/>
      <c r="T56" s="147"/>
    </row>
    <row r="57" customFormat="false" ht="15.75" hidden="false" customHeight="false" outlineLevel="0" collapsed="false">
      <c r="A57" s="178" t="s">
        <v>63</v>
      </c>
      <c r="B57" s="156" t="n">
        <f aca="true">COUNTIFS('Game History'!A:A,("&gt;"&amp;(TODAY()-365)),'Game History'!G:G,"MRDA",'Game History'!H:H,"Champs",'Game History'!I:I,Instructions!A71)+COUNTIFS('Game History'!A:A,("&gt;"&amp;(TODAY()-365)),'Game History'!G:G,"MRDA",'Game History'!H:H,"Playoff",'Game History'!I:I,Instructions!A71)</f>
        <v>0</v>
      </c>
      <c r="C57" s="156" t="n">
        <f aca="true">COUNTIFS('Game History'!A:A,("&gt;"&amp;(TODAY()-365)),'Game History'!G:G,"MRDA",'Game History'!H:H,"Sanc",'Game History'!I:I,Instructions!A71)</f>
        <v>0</v>
      </c>
      <c r="D57" s="160" t="n">
        <f aca="true">COUNTIFS('Game History'!A:A,("&gt;"&amp;(TODAY()-365)),'Game History'!G:G,"MRDA",'Game History'!H:H,"Reg",'Game History'!I:I,Instructions!A71)</f>
        <v>0</v>
      </c>
      <c r="E57" s="157" t="n">
        <f aca="false">SUM(B57+C57+D57)</f>
        <v>0</v>
      </c>
      <c r="F57" s="174"/>
      <c r="G57" s="147"/>
      <c r="H57" s="179" t="s">
        <v>63</v>
      </c>
      <c r="I57" s="156" t="n">
        <f aca="true">COUNTIFS('Game History'!A:A,("&gt;"&amp;(TODAY()-548)),'Game History'!G:G,"MRDA",'Game History'!H:H,"Champs",'Game History'!I:I,Instructions!A71)+COUNTIFS('Game History'!A:A,("&gt;"&amp;(TODAY()-548)),'Game History'!G:G,"MRDA",'Game History'!H:H,"Playoff",'Game History'!I:I,Instructions!A71)</f>
        <v>0</v>
      </c>
      <c r="J57" s="156" t="n">
        <f aca="true">COUNTIFS('Game History'!A:A,("&gt;"&amp;(TODAY()-548)),'Game History'!G:G,"MRDA",'Game History'!H:H,"Sanc",'Game History'!I:I,Instructions!A71)</f>
        <v>0</v>
      </c>
      <c r="K57" s="160" t="n">
        <f aca="true">COUNTIFS('Game History'!A:A,("&gt;"&amp;(TODAY()-548)),'Game History'!G:G,"MRDA",'Game History'!H:H,"Reg",'Game History'!I:I,Instructions!A71)</f>
        <v>0</v>
      </c>
      <c r="L57" s="157" t="n">
        <f aca="false">SUM(I57+J57+K57)</f>
        <v>0</v>
      </c>
      <c r="M57" s="174"/>
      <c r="Q57" s="147"/>
      <c r="R57" s="147"/>
      <c r="S57" s="147"/>
      <c r="T57" s="147"/>
    </row>
    <row r="58" customFormat="false" ht="15.75" hidden="false" customHeight="false" outlineLevel="0" collapsed="false">
      <c r="A58" s="178" t="s">
        <v>67</v>
      </c>
      <c r="B58" s="156" t="n">
        <f aca="true">COUNTIFS('Game History'!A:A,("&gt;"&amp;(TODAY()-365)),'Game History'!G:G,"MRDA",'Game History'!H:H,"Champs",'Game History'!I:I,Instructions!A72)+COUNTIFS('Game History'!A:A,("&gt;"&amp;(TODAY()-365)),'Game History'!G:G,"MRDA",'Game History'!H:H,"Playoff",'Game History'!I:I,Instructions!A72)+COUNTIFS('Game History'!A:A,("&gt;"&amp;(TODAY()-365)),'Game History'!G:G,"MRDA",'Game History'!H:H,"Champs",'Game History'!I:I,Instructions!A73)+COUNTIFS('Game History'!A:A,("&gt;"&amp;(TODAY()-365)),'Game History'!G:G,"MRDA",'Game History'!H:H,"Playoff",'Game History'!I:I,Instructions!A73)</f>
        <v>0</v>
      </c>
      <c r="C58" s="160" t="n">
        <f aca="true">COUNTIFS('Game History'!A:A,("&gt;"&amp;(TODAY()-365)),'Game History'!G:G,"MRDA",'Game History'!H:H,"Sanc",'Game History'!I:I,Instructions!A72)</f>
        <v>0</v>
      </c>
      <c r="D58" s="160" t="n">
        <f aca="true">COUNTIFS('Game History'!A:A,("&gt;"&amp;(TODAY()-365)),'Game History'!G:G,"MRDA",'Game History'!H:H,"Reg",'Game History'!I:I,Instructions!A72)</f>
        <v>0</v>
      </c>
      <c r="E58" s="161" t="n">
        <f aca="false">SUM(B58+C58+D58)</f>
        <v>0</v>
      </c>
      <c r="F58" s="174"/>
      <c r="G58" s="147"/>
      <c r="H58" s="179" t="s">
        <v>67</v>
      </c>
      <c r="I58" s="156" t="n">
        <f aca="true">COUNTIFS('Game History'!A:A,("&gt;"&amp;(TODAY()-548)),'Game History'!G:G,"MRDA",'Game History'!H:H,"Champs",'Game History'!I:I,Instructions!A72)+COUNTIFS('Game History'!A:A,("&gt;"&amp;(TODAY()-548)),'Game History'!G:G,"MRDA",'Game History'!H:H,"Playoff",'Game History'!I:I,Instructions!A72)+COUNTIFS('Game History'!A:A,("&gt;"&amp;(TODAY()-548)),'Game History'!G:G,"MRDA",'Game History'!H:H,"Champs",'Game History'!I:I,Instructions!A73)+COUNTIFS('Game History'!A:A,("&gt;"&amp;(TODAY()-548)),'Game History'!G:G,"MRDA",'Game History'!H:H,"Playoff",'Game History'!I:I,Instructions!A73)</f>
        <v>0</v>
      </c>
      <c r="J58" s="156" t="n">
        <f aca="true">COUNTIFS('Game History'!A:A,("&gt;"&amp;(TODAY()-548)),'Game History'!G:G,"MRDA",'Game History'!H:H,"Sanc",'Game History'!I:I,Instructions!A72)</f>
        <v>0</v>
      </c>
      <c r="K58" s="160" t="n">
        <f aca="true">COUNTIFS('Game History'!A:A,("&gt;"&amp;(TODAY()-548)),'Game History'!G:G,"MRDA",'Game History'!H:H,"Reg",'Game History'!I:I,Instructions!A72)</f>
        <v>0</v>
      </c>
      <c r="L58" s="161" t="n">
        <f aca="false">SUM(I58+J58+K58)</f>
        <v>0</v>
      </c>
      <c r="M58" s="174"/>
      <c r="Q58" s="147"/>
      <c r="R58" s="147"/>
      <c r="S58" s="147"/>
      <c r="T58" s="147"/>
    </row>
    <row r="59" customFormat="false" ht="15.75" hidden="false" customHeight="false" outlineLevel="0" collapsed="false">
      <c r="A59" s="178" t="s">
        <v>28</v>
      </c>
      <c r="B59" s="163" t="s">
        <v>26</v>
      </c>
      <c r="C59" s="160" t="n">
        <f aca="true">COUNTIFS('Game History'!A:A,("&gt;"&amp;(TODAY()-365)),'Game History'!G:G,"MRDA",'Game History'!H:H,"Sanc",'Game History'!I:I,Instructions!A73)</f>
        <v>0</v>
      </c>
      <c r="D59" s="160" t="n">
        <f aca="true">COUNTIFS('Game History'!A:A,("&gt;"&amp;(TODAY()-365)),'Game History'!G:G,"MRDA",'Game History'!H:H,"Reg",'Game History'!I:I,Instructions!A73)</f>
        <v>0</v>
      </c>
      <c r="E59" s="157" t="n">
        <f aca="false">SUM(C59+D59)</f>
        <v>0</v>
      </c>
      <c r="F59" s="173" t="s">
        <v>458</v>
      </c>
      <c r="G59" s="147"/>
      <c r="H59" s="179" t="s">
        <v>28</v>
      </c>
      <c r="I59" s="163" t="s">
        <v>26</v>
      </c>
      <c r="J59" s="156" t="n">
        <f aca="true">COUNTIFS('Game History'!A:A,("&gt;"&amp;(TODAY()-548)),'Game History'!G:G,"MRDA",'Game History'!H:H,"Sanc",'Game History'!I:I,Instructions!A73)</f>
        <v>0</v>
      </c>
      <c r="K59" s="160" t="n">
        <f aca="true">COUNTIFS('Game History'!A:A,("&gt;"&amp;(TODAY()-548)),'Game History'!G:G,"MRDA",'Game History'!H:H,"Reg",'Game History'!I:I,Instructions!A73)</f>
        <v>0</v>
      </c>
      <c r="L59" s="157" t="n">
        <f aca="false">SUM(J59+K59)</f>
        <v>0</v>
      </c>
      <c r="M59" s="176" t="s">
        <v>458</v>
      </c>
      <c r="Q59" s="147"/>
      <c r="R59" s="147"/>
      <c r="S59" s="147"/>
      <c r="T59" s="147"/>
    </row>
    <row r="60" customFormat="false" ht="15.75" hidden="false" customHeight="false" outlineLevel="0" collapsed="false">
      <c r="A60" s="178" t="s">
        <v>32</v>
      </c>
      <c r="B60" s="160" t="n">
        <f aca="true">COUNTIFS('Game History'!A:A,("&gt;"&amp;(TODAY()-365)),'Game History'!G:G,"MRDA",'Game History'!H:H,"Champs",'Game History'!I:I,Instructions!A77)+COUNTIFS('Game History'!A:A,("&gt;"&amp;(TODAY()-365)),'Game History'!G:G,"MRDA",'Game History'!H:H,"Playoff",'Game History'!I:I,Instructions!A77)+COUNTIFS('Game History'!A:A,("&gt;"&amp;(TODAY()-365)),'Game History'!G:G,"MRDA",'Game History'!H:H,"Champs",'Game History'!J:J,Instructions!A77)+COUNTIFS('Game History'!A:A,("&gt;"&amp;(TODAY()-365)),'Game History'!G:G,"MRDA",'Game History'!H:H,"Playoff",'Game History'!J:J,Instructions!A77)</f>
        <v>0</v>
      </c>
      <c r="C60" s="160" t="n">
        <f aca="true">COUNTIFS('Game History'!A:A,("&gt;"&amp;(TODAY()-365)),'Game History'!G:G,"MRDA",'Game History'!H:H,"Sanc",'Game History'!I:I,Instructions!A77)+COUNTIFS('Game History'!A:A,("&gt;"&amp;(TODAY()-365)),'Game History'!G:G,"MRDA",'Game History'!H:H,"Sanc",'Game History'!J:J,Instructions!A77)</f>
        <v>0</v>
      </c>
      <c r="D60" s="160" t="n">
        <f aca="true">COUNTIFS('Game History'!A:A,("&gt;"&amp;(TODAY()-365)),'Game History'!G:G,"MRDA",'Game History'!H:H,"Reg",'Game History'!I:I,Instructions!A77)+COUNTIFS('Game History'!A:A,("&gt;"&amp;(TODAY()-365)),'Game History'!G:G,"MRDA",'Game History'!H:H,"Reg",'Game History'!J:J,Instructions!A77)</f>
        <v>0</v>
      </c>
      <c r="E60" s="157" t="n">
        <f aca="false">SUM(B60+C60+D60)</f>
        <v>0</v>
      </c>
      <c r="F60" s="156" t="n">
        <f aca="true">COUNTIFS('Game History'!A:A,("&gt;"&amp;(TODAY()-365)),'Game History'!G:G,"MRDA",'Game History'!I:I,A60,'Game History'!K:K,"Y")+COUNTIFS('Game History'!A:A,("&gt;"&amp;(TODAY()-365)),'Game History'!G:G,"MRDA",'Game History'!J:J,A60,'Game History'!K:K,"Y")</f>
        <v>0</v>
      </c>
      <c r="G60" s="147"/>
      <c r="H60" s="179" t="s">
        <v>32</v>
      </c>
      <c r="I60" s="156" t="n">
        <f aca="true">COUNTIFS('Game History'!A:A,("&gt;"&amp;(TODAY()-548)),'Game History'!G:G,"MRDA",'Game History'!H:H,"Champs",'Game History'!I:I,Instructions!A77)+COUNTIFS('Game History'!A:A,("&gt;"&amp;(TODAY()-548)),'Game History'!G:G,"MRDA",'Game History'!H:H,"Playoff",'Game History'!I:I,Instructions!A77)+COUNTIFS('Game History'!A:A,("&gt;"&amp;(TODAY()-548)),'Game History'!G:G,"MRDA",'Game History'!H:H,"Champs",'Game History'!J:J,Instructions!A77)+COUNTIFS('Game History'!A:A,("&gt;"&amp;(TODAY()-548)),'Game History'!G:G,"MRDA",'Game History'!H:H,"Playoff",'Game History'!J:J,Instructions!A77)</f>
        <v>0</v>
      </c>
      <c r="J60" s="156" t="n">
        <f aca="true">COUNTIFS('Game History'!A:A,("&gt;"&amp;(TODAY()-548)),'Game History'!G:G,"MRDA",'Game History'!H:H,"Sanc",'Game History'!I:I,Instructions!A77)+COUNTIFS('Game History'!A:A,("&gt;"&amp;(TODAY()-548)),'Game History'!G:G,"MRDA",'Game History'!H:H,"Sanc",'Game History'!J:J,Instructions!A77)</f>
        <v>0</v>
      </c>
      <c r="K60" s="160" t="n">
        <f aca="true">COUNTIFS('Game History'!A:A,("&gt;"&amp;(TODAY()-548)),'Game History'!G:G,"MRDA",'Game History'!H:H,"Reg",'Game History'!I:I,Instructions!A77)+COUNTIFS('Game History'!A:A,("&gt;"&amp;(TODAY()-548)),'Game History'!G:G,"MRDA",'Game History'!H:H,"Reg",'Game History'!J:J,Instructions!A77)</f>
        <v>0</v>
      </c>
      <c r="L60" s="157" t="n">
        <f aca="false">SUM(I60+J60+K60)</f>
        <v>0</v>
      </c>
      <c r="M60" s="156" t="n">
        <f aca="true">COUNTIFS('Game History'!A:A,("&gt;"&amp;(TODAY()-548)),'Game History'!G:G,"MRDA",'Game History'!I:I,A60,'Game History'!K:K,"Y")+COUNTIFS('Game History'!A:A,("&gt;"&amp;(TODAY()-548)),'Game History'!G:G,"MRDA",'Game History'!J:J,A60,'Game History'!K:K,"Y")</f>
        <v>0</v>
      </c>
      <c r="Q60" s="147"/>
      <c r="R60" s="147"/>
      <c r="S60" s="147"/>
      <c r="T60" s="147"/>
    </row>
    <row r="61" customFormat="false" ht="15.75" hidden="false" customHeight="false" outlineLevel="0" collapsed="false">
      <c r="A61" s="178" t="s">
        <v>36</v>
      </c>
      <c r="B61" s="160" t="n">
        <f aca="true">COUNTIFS('Game History'!A:A,("&gt;"&amp;(TODAY()-365)),'Game History'!G:G,"MRDA",'Game History'!H:H,"Champs",'Game History'!I:I,Instructions!A78)+COUNTIFS('Game History'!A:A,("&gt;"&amp;(TODAY()-365)),'Game History'!G:G,"MRDA",'Game History'!H:H,"Playoff",'Game History'!I:I,Instructions!A78)+COUNTIFS('Game History'!A:A,("&gt;"&amp;(TODAY()-365)),'Game History'!G:G,"MRDA",'Game History'!H:H,"Champs",'Game History'!J:J,Instructions!A78)+COUNTIFS('Game History'!A:A,("&gt;"&amp;(TODAY()-365)),'Game History'!G:G,"MRDA",'Game History'!H:H,"Playoff",'Game History'!J:J,Instructions!A78)</f>
        <v>0</v>
      </c>
      <c r="C61" s="160" t="n">
        <f aca="true">COUNTIFS('Game History'!A:A,("&gt;"&amp;(TODAY()-365)),'Game History'!G:G,"MRDA",'Game History'!H:H,"Sanc",'Game History'!I:I,Instructions!A78)+COUNTIFS('Game History'!A:A,("&gt;"&amp;(TODAY()-365)),'Game History'!G:G,"MRDA",'Game History'!H:H,"Sanc",'Game History'!J:J,Instructions!A78)</f>
        <v>0</v>
      </c>
      <c r="D61" s="160" t="n">
        <f aca="true">COUNTIFS('Game History'!A:A,("&gt;"&amp;(TODAY()-365)),'Game History'!G:G,"MRDA",'Game History'!H:H,"Reg",'Game History'!I:I,Instructions!A78)+COUNTIFS('Game History'!A:A,("&gt;"&amp;(TODAY()-365)),'Game History'!G:G,"MRDA",'Game History'!H:H,"Reg",'Game History'!J:J,Instructions!A78)</f>
        <v>0</v>
      </c>
      <c r="E61" s="157" t="n">
        <f aca="false">SUM(B61+C61+D61)</f>
        <v>0</v>
      </c>
      <c r="F61" s="156" t="n">
        <f aca="true">COUNTIFS('Game History'!A:A,("&gt;"&amp;(TODAY()-365)),'Game History'!G:G,"MRDA",'Game History'!I:I,A61,'Game History'!K:K,"Y")+COUNTIFS('Game History'!A:A,("&gt;"&amp;(TODAY()-365)),'Game History'!G:G,"MRDA",'Game History'!J:J,A61,'Game History'!K:K,"Y")</f>
        <v>0</v>
      </c>
      <c r="G61" s="147"/>
      <c r="H61" s="179" t="s">
        <v>36</v>
      </c>
      <c r="I61" s="156" t="n">
        <f aca="true">COUNTIFS('Game History'!A:A,("&gt;"&amp;(TODAY()-548)),'Game History'!G:G,"MRDA",'Game History'!H:H,"Champs",'Game History'!I:I,Instructions!A78)+COUNTIFS('Game History'!A:A,("&gt;"&amp;(TODAY()-548)),'Game History'!G:G,"MRDA",'Game History'!H:H,"Playoff",'Game History'!I:I,Instructions!A78)+COUNTIFS('Game History'!A:A,("&gt;"&amp;(TODAY()-548)),'Game History'!G:G,"MRDA",'Game History'!H:H,"Champs",'Game History'!J:J,Instructions!A78)+COUNTIFS('Game History'!A:A,("&gt;"&amp;(TODAY()-548)),'Game History'!G:G,"MRDA",'Game History'!H:H,"Playoff",'Game History'!J:J,Instructions!A78)</f>
        <v>0</v>
      </c>
      <c r="J61" s="156" t="n">
        <f aca="true">COUNTIFS('Game History'!A:A,("&gt;"&amp;(TODAY()-548)),'Game History'!G:G,"MRDA",'Game History'!H:H,"Sanc",'Game History'!I:I,Instructions!A78)+COUNTIFS('Game History'!A:A,("&gt;"&amp;(TODAY()-548)),'Game History'!G:G,"MRDA",'Game History'!H:H,"Sanc",'Game History'!J:J,Instructions!A78)</f>
        <v>0</v>
      </c>
      <c r="K61" s="160" t="n">
        <f aca="true">COUNTIFS('Game History'!A:A,("&gt;"&amp;(TODAY()-548)),'Game History'!G:G,"MRDA",'Game History'!H:H,"Reg",'Game History'!I:I,Instructions!A78)+COUNTIFS('Game History'!A:A,("&gt;"&amp;(TODAY()-548)),'Game History'!G:G,"MRDA",'Game History'!H:H,"Reg",'Game History'!J:J,Instructions!A78)</f>
        <v>0</v>
      </c>
      <c r="L61" s="157" t="n">
        <f aca="false">SUM(I61+J61+K61)</f>
        <v>0</v>
      </c>
      <c r="M61" s="156" t="n">
        <f aca="true">COUNTIFS('Game History'!A:A,("&gt;"&amp;(TODAY()-548)),'Game History'!G:G,"MRDA",'Game History'!I:I,A61,'Game History'!K:K,"Y")+COUNTIFS('Game History'!A:A,("&gt;"&amp;(TODAY()-548)),'Game History'!G:G,"MRDA",'Game History'!J:J,A61,'Game History'!K:K,"Y")</f>
        <v>0</v>
      </c>
      <c r="Q61" s="147"/>
      <c r="R61" s="147"/>
      <c r="S61" s="147"/>
      <c r="T61" s="147"/>
    </row>
    <row r="62" customFormat="false" ht="15.75" hidden="false" customHeight="false" outlineLevel="0" collapsed="false">
      <c r="A62" s="178" t="s">
        <v>40</v>
      </c>
      <c r="B62" s="160" t="n">
        <f aca="true">COUNTIFS('Game History'!A:A,("&gt;"&amp;(TODAY()-365)),'Game History'!G:G,"MRDA",'Game History'!H:H,"Champs",'Game History'!I:I,Instructions!A79)+COUNTIFS('Game History'!A:A,("&gt;"&amp;(TODAY()-365)),'Game History'!G:G,"MRDA",'Game History'!H:H,"Playoff",'Game History'!I:I,Instructions!A79)+COUNTIFS('Game History'!A:A,("&gt;"&amp;(TODAY()-365)),'Game History'!G:G,"MRDA",'Game History'!H:H,"Champs",'Game History'!J:J,Instructions!A79)+COUNTIFS('Game History'!A:A,("&gt;"&amp;(TODAY()-365)),'Game History'!G:G,"MRDA",'Game History'!H:H,"Playoff",'Game History'!J:J,Instructions!A79)</f>
        <v>0</v>
      </c>
      <c r="C62" s="160" t="n">
        <f aca="true">COUNTIFS('Game History'!A:A,("&gt;"&amp;(TODAY()-365)),'Game History'!G:G,"MRDA",'Game History'!H:H,"Sanc",'Game History'!I:I,Instructions!A79)+COUNTIFS('Game History'!A:A,("&gt;"&amp;(TODAY()-365)),'Game History'!G:G,"MRDA",'Game History'!H:H,"Sanc",'Game History'!J:J,Instructions!A79)</f>
        <v>0</v>
      </c>
      <c r="D62" s="160" t="n">
        <f aca="true">COUNTIFS('Game History'!A:A,("&gt;"&amp;(TODAY()-365)),'Game History'!G:G,"MRDA",'Game History'!H:H,"Reg",'Game History'!I:I,Instructions!A79)+COUNTIFS('Game History'!A:A,("&gt;"&amp;(TODAY()-365)),'Game History'!G:G,"MRDA",'Game History'!H:H,"Reg",'Game History'!J:J,Instructions!A79)</f>
        <v>0</v>
      </c>
      <c r="E62" s="157" t="n">
        <f aca="false">SUM(B62+C62+D62)</f>
        <v>0</v>
      </c>
      <c r="F62" s="156" t="n">
        <f aca="true">COUNTIFS('Game History'!A:A,("&gt;"&amp;(TODAY()-365)),'Game History'!G:G,"MRDA",'Game History'!I:I,A62,'Game History'!K:K,"Y")+COUNTIFS('Game History'!A:A,("&gt;"&amp;(TODAY()-365)),'Game History'!G:G,"MRDA",'Game History'!J:J,A62,'Game History'!K:K,"Y")</f>
        <v>0</v>
      </c>
      <c r="G62" s="147"/>
      <c r="H62" s="179" t="s">
        <v>40</v>
      </c>
      <c r="I62" s="156" t="n">
        <f aca="true">COUNTIFS('Game History'!A:A,("&gt;"&amp;(TODAY()-548)),'Game History'!G:G,"MRDA",'Game History'!H:H,"Champs",'Game History'!I:I,Instructions!A79)+COUNTIFS('Game History'!A:A,("&gt;"&amp;(TODAY()-548)),'Game History'!G:G,"MRDA",'Game History'!H:H,"Playoff",'Game History'!I:I,Instructions!A79)+COUNTIFS('Game History'!A:A,("&gt;"&amp;(TODAY()-548)),'Game History'!G:G,"MRDA",'Game History'!H:H,"Champs",'Game History'!J:J,Instructions!A79)+COUNTIFS('Game History'!A:A,("&gt;"&amp;(TODAY()-548)),'Game History'!G:G,"MRDA",'Game History'!H:H,"Playoff",'Game History'!J:J,Instructions!A79)</f>
        <v>0</v>
      </c>
      <c r="J62" s="156" t="n">
        <f aca="true">COUNTIFS('Game History'!A:A,("&gt;"&amp;(TODAY()-548)),'Game History'!G:G,"MRDA",'Game History'!H:H,"Sanc",'Game History'!I:I,Instructions!A79)+COUNTIFS('Game History'!A:A,("&gt;"&amp;(TODAY()-548)),'Game History'!G:G,"MRDA",'Game History'!H:H,"Sanc",'Game History'!J:J,Instructions!A79)</f>
        <v>0</v>
      </c>
      <c r="K62" s="160" t="n">
        <f aca="true">COUNTIFS('Game History'!A:A,("&gt;"&amp;(TODAY()-548)),'Game History'!G:G,"MRDA",'Game History'!H:H,"Reg",'Game History'!I:I,Instructions!A79)+COUNTIFS('Game History'!A:A,("&gt;"&amp;(TODAY()-548)),'Game History'!G:G,"MRDA",'Game History'!H:H,"Reg",'Game History'!J:J,Instructions!A79)</f>
        <v>0</v>
      </c>
      <c r="L62" s="157" t="n">
        <f aca="false">SUM(I62+J62+K62)</f>
        <v>0</v>
      </c>
      <c r="M62" s="156" t="n">
        <f aca="true">COUNTIFS('Game History'!A:A,("&gt;"&amp;(TODAY()-548)),'Game History'!G:G,"MRDA",'Game History'!I:I,A62,'Game History'!K:K,"Y")+COUNTIFS('Game History'!A:A,("&gt;"&amp;(TODAY()-548)),'Game History'!G:G,"MRDA",'Game History'!J:J,A62,'Game History'!K:K,"Y")</f>
        <v>0</v>
      </c>
      <c r="Q62" s="147"/>
      <c r="R62" s="147"/>
      <c r="S62" s="147"/>
      <c r="T62" s="147"/>
    </row>
    <row r="63" customFormat="false" ht="15.75" hidden="false" customHeight="false" outlineLevel="0" collapsed="false">
      <c r="A63" s="178" t="s">
        <v>44</v>
      </c>
      <c r="B63" s="160" t="n">
        <f aca="true">COUNTIFS('Game History'!A:A,("&gt;"&amp;(TODAY()-365)),'Game History'!G:G,"MRDA",'Game History'!H:H,"Champs",'Game History'!I:I,Instructions!A80)+COUNTIFS('Game History'!A:A,("&gt;"&amp;(TODAY()-365)),'Game History'!G:G,"MRDA",'Game History'!H:H,"Playoff",'Game History'!I:I,Instructions!A80)+COUNTIFS('Game History'!A:A,("&gt;"&amp;(TODAY()-365)),'Game History'!G:G,"MRDA",'Game History'!H:H,"Champs",'Game History'!J:J,Instructions!A80)+COUNTIFS('Game History'!A:A,("&gt;"&amp;(TODAY()-365)),'Game History'!G:G,"MRDA",'Game History'!H:H,"Playoff",'Game History'!J:J,Instructions!A80)</f>
        <v>0</v>
      </c>
      <c r="C63" s="160" t="n">
        <f aca="true">COUNTIFS('Game History'!A:A,("&gt;"&amp;(TODAY()-365)),'Game History'!G:G,"MRDA",'Game History'!H:H,"Sanc",'Game History'!I:I,Instructions!A80)+COUNTIFS('Game History'!A:A,("&gt;"&amp;(TODAY()-365)),'Game History'!G:G,"MRDA",'Game History'!H:H,"Sanc",'Game History'!J:J,Instructions!A80)</f>
        <v>0</v>
      </c>
      <c r="D63" s="160" t="n">
        <f aca="true">COUNTIFS('Game History'!A:A,("&gt;"&amp;(TODAY()-365)),'Game History'!G:G,"MRDA",'Game History'!H:H,"Reg",'Game History'!I:I,Instructions!A80)+COUNTIFS('Game History'!A:A,("&gt;"&amp;(TODAY()-365)),'Game History'!G:G,"MRDA",'Game History'!H:H,"Reg",'Game History'!J:J,Instructions!A80)</f>
        <v>0</v>
      </c>
      <c r="E63" s="164" t="n">
        <f aca="false">SUM(B63+C63+D63)</f>
        <v>0</v>
      </c>
      <c r="F63" s="156" t="n">
        <f aca="true">COUNTIFS('Game History'!A:A,("&gt;"&amp;(TODAY()-365)),'Game History'!G:G,"MRDA",'Game History'!I:I,A63,'Game History'!K:K,"Y")+COUNTIFS('Game History'!A:A,("&gt;"&amp;(TODAY()-365)),'Game History'!G:G,"MRDA",'Game History'!J:J,A63,'Game History'!K:K,"Y")</f>
        <v>0</v>
      </c>
      <c r="G63" s="147"/>
      <c r="H63" s="179" t="s">
        <v>44</v>
      </c>
      <c r="I63" s="156" t="n">
        <f aca="true">COUNTIFS('Game History'!A:A,("&gt;"&amp;(TODAY()-548)),'Game History'!G:G,"MRDA",'Game History'!H:H,"Champs",'Game History'!I:I,Instructions!A80)+COUNTIFS('Game History'!A:A,("&gt;"&amp;(TODAY()-548)),'Game History'!G:G,"MRDA",'Game History'!H:H,"Playoff",'Game History'!I:I,Instructions!A80)+COUNTIFS('Game History'!A:A,("&gt;"&amp;(TODAY()-548)),'Game History'!G:G,"MRDA",'Game History'!H:H,"Champs",'Game History'!J:J,Instructions!A80)+COUNTIFS('Game History'!A:A,("&gt;"&amp;(TODAY()-548)),'Game History'!G:G,"MRDA",'Game History'!H:H,"Playoff",'Game History'!J:J,Instructions!A80)</f>
        <v>0</v>
      </c>
      <c r="J63" s="156" t="n">
        <f aca="true">COUNTIFS('Game History'!A:A,("&gt;"&amp;(TODAY()-548)),'Game History'!G:G,"MRDA",'Game History'!H:H,"Sanc",'Game History'!I:I,Instructions!A80)+COUNTIFS('Game History'!A:A,("&gt;"&amp;(TODAY()-548)),'Game History'!G:G,"MRDA",'Game History'!H:H,"Sanc",'Game History'!J:J,Instructions!A80)</f>
        <v>0</v>
      </c>
      <c r="K63" s="160" t="n">
        <f aca="true">COUNTIFS('Game History'!A:A,("&gt;"&amp;(TODAY()-548)),'Game History'!G:G,"MRDA",'Game History'!H:H,"Reg",'Game History'!I:I,Instructions!A80)+COUNTIFS('Game History'!A:A,("&gt;"&amp;(TODAY()-548)),'Game History'!G:G,"MRDA",'Game History'!H:H,"Reg",'Game History'!J:J,Instructions!A80)</f>
        <v>0</v>
      </c>
      <c r="L63" s="164" t="n">
        <f aca="false">SUM(I63+J63+K63)</f>
        <v>0</v>
      </c>
      <c r="M63" s="156" t="n">
        <f aca="true">COUNTIFS('Game History'!A:A,("&gt;"&amp;(TODAY()-548)),'Game History'!G:G,"MRDA",'Game History'!I:I,A63,'Game History'!K:K,"Y")+COUNTIFS('Game History'!A:A,("&gt;"&amp;(TODAY()-548)),'Game History'!G:G,"MRDA",'Game History'!J:J,A63,'Game History'!K:K,"Y")</f>
        <v>0</v>
      </c>
      <c r="Q63" s="147"/>
      <c r="R63" s="147"/>
      <c r="S63" s="147"/>
      <c r="T63" s="147"/>
    </row>
    <row r="64" customFormat="false" ht="15.75" hidden="false" customHeight="false" outlineLevel="0" collapsed="false">
      <c r="A64" s="178" t="s">
        <v>47</v>
      </c>
      <c r="B64" s="160" t="n">
        <f aca="true">COUNTIFS('Game History'!A:A,("&gt;"&amp;(TODAY()-365)),'Game History'!G:G,"MRDA",'Game History'!H:H,"Champs",'Game History'!I:I,Instructions!A81)+COUNTIFS('Game History'!A:A,("&gt;"&amp;(TODAY()-365)),'Game History'!G:G,"MRDA",'Game History'!H:H,"Playoff",'Game History'!I:I,Instructions!A81)+COUNTIFS('Game History'!A:A,("&gt;"&amp;(TODAY()-365)),'Game History'!G:G,"MRDA",'Game History'!H:H,"Champs",'Game History'!J:J,Instructions!A81)+COUNTIFS('Game History'!A:A,("&gt;"&amp;(TODAY()-365)),'Game History'!G:G,"MRDA",'Game History'!H:H,"Playoff",'Game History'!J:J,Instructions!A81)</f>
        <v>0</v>
      </c>
      <c r="C64" s="160" t="n">
        <f aca="true">COUNTIFS('Game History'!A:A,("&gt;"&amp;(TODAY()-365)),'Game History'!G:G,"MRDA",'Game History'!H:H,"Sanc",'Game History'!I:I,Instructions!A81)+COUNTIFS('Game History'!A:A,("&gt;"&amp;(TODAY()-365)),'Game History'!G:G,"MRDA",'Game History'!H:H,"Sanc",'Game History'!J:J,Instructions!A81)</f>
        <v>0</v>
      </c>
      <c r="D64" s="160" t="n">
        <f aca="true">COUNTIFS('Game History'!A:A,("&gt;"&amp;(TODAY()-365)),'Game History'!G:G,"MRDA",'Game History'!H:H,"Reg",'Game History'!I:I,Instructions!A81)+COUNTIFS('Game History'!A:A,("&gt;"&amp;(TODAY()-365)),'Game History'!G:G,"MRDA",'Game History'!H:H,"Reg",'Game History'!J:J,Instructions!A81)</f>
        <v>0</v>
      </c>
      <c r="E64" s="157" t="n">
        <f aca="false">SUM(B64+C64+D64)</f>
        <v>0</v>
      </c>
      <c r="F64" s="156" t="n">
        <f aca="true">COUNTIFS('Game History'!A:A,("&gt;"&amp;(TODAY()-365)),'Game History'!G:G,"MRDA",'Game History'!I:I,A64,'Game History'!K:K,"Y")+COUNTIFS('Game History'!A:A,("&gt;"&amp;(TODAY()-365)),'Game History'!G:G,"MRDA",'Game History'!J:J,A64,'Game History'!K:K,"Y")</f>
        <v>0</v>
      </c>
      <c r="G64" s="147"/>
      <c r="H64" s="179" t="s">
        <v>47</v>
      </c>
      <c r="I64" s="156" t="n">
        <f aca="true">COUNTIFS('Game History'!A:A,("&gt;"&amp;(TODAY()-548)),'Game History'!G:G,"MRDA",'Game History'!H:H,"Champs",'Game History'!I:I,Instructions!A81)+COUNTIFS('Game History'!A:A,("&gt;"&amp;(TODAY()-548)),'Game History'!G:G,"MRDA",'Game History'!H:H,"Playoff",'Game History'!I:I,Instructions!A81)+COUNTIFS('Game History'!A:A,("&gt;"&amp;(TODAY()-548)),'Game History'!G:G,"MRDA",'Game History'!H:H,"Champs",'Game History'!J:J,Instructions!A81)+COUNTIFS('Game History'!A:A,("&gt;"&amp;(TODAY()-548)),'Game History'!G:G,"MRDA",'Game History'!H:H,"Playoff",'Game History'!J:J,Instructions!A81)</f>
        <v>0</v>
      </c>
      <c r="J64" s="156" t="n">
        <f aca="true">COUNTIFS('Game History'!A:A,("&gt;"&amp;(TODAY()-548)),'Game History'!G:G,"MRDA",'Game History'!H:H,"Sanc",'Game History'!I:I,Instructions!A81)+COUNTIFS('Game History'!A:A,("&gt;"&amp;(TODAY()-548)),'Game History'!G:G,"MRDA",'Game History'!H:H,"Sanc",'Game History'!J:J,Instructions!A81)</f>
        <v>0</v>
      </c>
      <c r="K64" s="160" t="n">
        <f aca="true">COUNTIFS('Game History'!A:A,("&gt;"&amp;(TODAY()-548)),'Game History'!G:G,"MRDA",'Game History'!H:H,"Reg",'Game History'!I:I,Instructions!A81)+COUNTIFS('Game History'!A:A,("&gt;"&amp;(TODAY()-548)),'Game History'!G:G,"MRDA",'Game History'!H:H,"Reg",'Game History'!J:J,Instructions!A81)</f>
        <v>0</v>
      </c>
      <c r="L64" s="157" t="n">
        <f aca="false">SUM(I64+J64+K64)</f>
        <v>0</v>
      </c>
      <c r="M64" s="156" t="n">
        <f aca="true">COUNTIFS('Game History'!A:A,("&gt;"&amp;(TODAY()-548)),'Game History'!G:G,"MRDA",'Game History'!I:I,A64,'Game History'!K:K,"Y")+COUNTIFS('Game History'!A:A,("&gt;"&amp;(TODAY()-548)),'Game History'!G:G,"MRDA",'Game History'!J:J,A64,'Game History'!K:K,"Y")</f>
        <v>0</v>
      </c>
      <c r="Q64" s="147"/>
      <c r="R64" s="147"/>
      <c r="S64" s="147"/>
      <c r="T64" s="147"/>
    </row>
    <row r="65" customFormat="false" ht="15.75" hidden="false" customHeight="false" outlineLevel="0" collapsed="false">
      <c r="A65" s="178" t="s">
        <v>49</v>
      </c>
      <c r="B65" s="160" t="n">
        <f aca="true">COUNTIFS('Game History'!A:A,("&gt;"&amp;(TODAY()-365)),'Game History'!G:G,"MRDA",'Game History'!H:H,"Champs",'Game History'!I:I,Instructions!A82)+COUNTIFS('Game History'!A:A,("&gt;"&amp;(TODAY()-365)),'Game History'!G:G,"MRDA",'Game History'!H:H,"Playoff",'Game History'!I:I,Instructions!A82)+COUNTIFS('Game History'!A:A,("&gt;"&amp;(TODAY()-365)),'Game History'!G:G,"MRDA",'Game History'!H:H,"Champs",'Game History'!J:J,Instructions!A82)+COUNTIFS('Game History'!A:A,("&gt;"&amp;(TODAY()-365)),'Game History'!G:G,"MRDA",'Game History'!H:H,"Playoff",'Game History'!J:J,Instructions!A82)</f>
        <v>0</v>
      </c>
      <c r="C65" s="160" t="n">
        <f aca="true">COUNTIFS('Game History'!A:A,("&gt;"&amp;(TODAY()-365)),'Game History'!G:G,"MRDA",'Game History'!H:H,"Sanc",'Game History'!I:I,Instructions!A82)+COUNTIFS('Game History'!A:A,("&gt;"&amp;(TODAY()-365)),'Game History'!G:G,"MRDA",'Game History'!H:H,"Sanc",'Game History'!J:J,Instructions!A82)</f>
        <v>0</v>
      </c>
      <c r="D65" s="160" t="n">
        <f aca="true">COUNTIFS('Game History'!A:A,("&gt;"&amp;(TODAY()-365)),'Game History'!G:G,"MRDA",'Game History'!H:H,"Reg",'Game History'!I:I,Instructions!A82)+COUNTIFS('Game History'!A:A,("&gt;"&amp;(TODAY()-365)),'Game History'!G:G,"MRDA",'Game History'!H:H,"Reg",'Game History'!J:J,Instructions!A82)</f>
        <v>0</v>
      </c>
      <c r="E65" s="157" t="n">
        <f aca="false">SUM(B65+C65+D65)</f>
        <v>0</v>
      </c>
      <c r="F65" s="156" t="n">
        <f aca="true">COUNTIFS('Game History'!A:A,("&gt;"&amp;(TODAY()-365)),'Game History'!G:G,"MRDA",'Game History'!I:I,A65,'Game History'!K:K,"Y")+COUNTIFS('Game History'!A:A,("&gt;"&amp;(TODAY()-365)),'Game History'!G:G,"MRDA",'Game History'!J:J,A65,'Game History'!K:K,"Y")</f>
        <v>0</v>
      </c>
      <c r="G65" s="147"/>
      <c r="H65" s="179" t="s">
        <v>49</v>
      </c>
      <c r="I65" s="156" t="n">
        <f aca="true">COUNTIFS('Game History'!A:A,("&gt;"&amp;(TODAY()-548)),'Game History'!G:G,"MRDA",'Game History'!H:H,"Champs",'Game History'!I:I,Instructions!A82)+COUNTIFS('Game History'!A:A,("&gt;"&amp;(TODAY()-548)),'Game History'!G:G,"MRDA",'Game History'!H:H,"Playoff",'Game History'!I:I,Instructions!A82)+COUNTIFS('Game History'!A:A,("&gt;"&amp;(TODAY()-548)),'Game History'!G:G,"MRDA",'Game History'!H:H,"Champs",'Game History'!J:J,Instructions!A82)+COUNTIFS('Game History'!A:A,("&gt;"&amp;(TODAY()-548)),'Game History'!G:G,"MRDA",'Game History'!H:H,"Playoff",'Game History'!J:J,Instructions!A82)</f>
        <v>0</v>
      </c>
      <c r="J65" s="156" t="n">
        <f aca="true">COUNTIFS('Game History'!A:A,("&gt;"&amp;(TODAY()-548)),'Game History'!G:G,"MRDA",'Game History'!H:H,"Sanc",'Game History'!I:I,Instructions!A82)+COUNTIFS('Game History'!A:A,("&gt;"&amp;(TODAY()-548)),'Game History'!G:G,"MRDA",'Game History'!H:H,"Sanc",'Game History'!J:J,Instructions!A82)</f>
        <v>0</v>
      </c>
      <c r="K65" s="160" t="n">
        <f aca="true">COUNTIFS('Game History'!A:A,("&gt;"&amp;(TODAY()-548)),'Game History'!G:G,"MRDA",'Game History'!H:H,"Reg",'Game History'!I:I,Instructions!A82)+COUNTIFS('Game History'!A:A,("&gt;"&amp;(TODAY()-548)),'Game History'!G:G,"MRDA",'Game History'!H:H,"Reg",'Game History'!J:J,Instructions!A82)</f>
        <v>0</v>
      </c>
      <c r="L65" s="157" t="n">
        <f aca="false">SUM(I65+J65+K65)</f>
        <v>0</v>
      </c>
      <c r="M65" s="156" t="n">
        <f aca="true">COUNTIFS('Game History'!A:A,("&gt;"&amp;(TODAY()-548)),'Game History'!G:G,"MRDA",'Game History'!I:I,A65,'Game History'!K:K,"Y")+COUNTIFS('Game History'!A:A,("&gt;"&amp;(TODAY()-548)),'Game History'!G:G,"MRDA",'Game History'!J:J,A65,'Game History'!K:K,"Y")</f>
        <v>0</v>
      </c>
      <c r="Q65" s="147"/>
      <c r="R65" s="147"/>
      <c r="S65" s="147"/>
      <c r="T65" s="147"/>
    </row>
    <row r="66" customFormat="false" ht="15.75" hidden="false" customHeight="false" outlineLevel="0" collapsed="false">
      <c r="A66" s="178" t="s">
        <v>53</v>
      </c>
      <c r="B66" s="160" t="n">
        <f aca="true">COUNTIFS('Game History'!A:A,("&gt;"&amp;(TODAY()-365)),'Game History'!G:G,"MRDA",'Game History'!H:H,"Champs",'Game History'!I:I,Instructions!A83)+COUNTIFS('Game History'!A:A,("&gt;"&amp;(TODAY()-365)),'Game History'!G:G,"MRDA",'Game History'!H:H,"Playoff",'Game History'!I:I,Instructions!A83)+COUNTIFS('Game History'!A:A,("&gt;"&amp;(TODAY()-365)),'Game History'!G:G,"MRDA",'Game History'!H:H,"Champs",'Game History'!J:J,Instructions!A83)+COUNTIFS('Game History'!A:A,("&gt;"&amp;(TODAY()-365)),'Game History'!G:G,"MRDA",'Game History'!H:H,"Playoff",'Game History'!J:J,Instructions!A83)</f>
        <v>0</v>
      </c>
      <c r="C66" s="160" t="n">
        <f aca="true">COUNTIFS('Game History'!A:A,("&gt;"&amp;(TODAY()-365)),'Game History'!G:G,"MRDA",'Game History'!H:H,"Sanc",'Game History'!I:I,Instructions!A83)+COUNTIFS('Game History'!A:A,("&gt;"&amp;(TODAY()-365)),'Game History'!G:G,"MRDA",'Game History'!H:H,"Sanc",'Game History'!J:J,Instructions!A83)</f>
        <v>0</v>
      </c>
      <c r="D66" s="160" t="n">
        <f aca="true">COUNTIFS('Game History'!A:A,("&gt;"&amp;(TODAY()-365)),'Game History'!G:G,"MRDA",'Game History'!H:H,"Reg",'Game History'!I:I,Instructions!A83)+COUNTIFS('Game History'!A:A,("&gt;"&amp;(TODAY()-365)),'Game History'!G:G,"MRDA",'Game History'!H:H,"Reg",'Game History'!J:J,Instructions!A83)</f>
        <v>0</v>
      </c>
      <c r="E66" s="157" t="n">
        <f aca="false">SUM(B66+C66+D66)</f>
        <v>0</v>
      </c>
      <c r="F66" s="156" t="n">
        <f aca="true">COUNTIFS('Game History'!A:A,("&gt;"&amp;(TODAY()-365)),'Game History'!G:G,"MRDA",'Game History'!I:I,A66,'Game History'!K:K,"Y")+COUNTIFS('Game History'!A:A,("&gt;"&amp;(TODAY()-365)),'Game History'!G:G,"MRDA",'Game History'!J:J,A66,'Game History'!K:K,"Y")</f>
        <v>0</v>
      </c>
      <c r="G66" s="147"/>
      <c r="H66" s="179" t="s">
        <v>53</v>
      </c>
      <c r="I66" s="156" t="n">
        <f aca="true">COUNTIFS('Game History'!A:A,("&gt;"&amp;(TODAY()-548)),'Game History'!G:G,"MRDA",'Game History'!H:H,"Champs",'Game History'!I:I,Instructions!A83)+COUNTIFS('Game History'!A:A,("&gt;"&amp;(TODAY()-548)),'Game History'!G:G,"MRDA",'Game History'!H:H,"Playoff",'Game History'!I:I,Instructions!A83)+COUNTIFS('Game History'!A:A,("&gt;"&amp;(TODAY()-548)),'Game History'!G:G,"MRDA",'Game History'!H:H,"Champs",'Game History'!J:J,Instructions!A83)+COUNTIFS('Game History'!A:A,("&gt;"&amp;(TODAY()-548)),'Game History'!G:G,"MRDA",'Game History'!H:H,"Playoff",'Game History'!J:J,Instructions!A83)</f>
        <v>0</v>
      </c>
      <c r="J66" s="156" t="n">
        <f aca="true">COUNTIFS('Game History'!A:A,("&gt;"&amp;(TODAY()-548)),'Game History'!G:G,"MRDA",'Game History'!H:H,"Sanc",'Game History'!I:I,Instructions!A83)+COUNTIFS('Game History'!A:A,("&gt;"&amp;(TODAY()-548)),'Game History'!G:G,"MRDA",'Game History'!H:H,"Sanc",'Game History'!J:J,Instructions!A83)</f>
        <v>0</v>
      </c>
      <c r="K66" s="160" t="n">
        <f aca="true">COUNTIFS('Game History'!A:A,("&gt;"&amp;(TODAY()-548)),'Game History'!G:G,"MRDA",'Game History'!H:H,"Reg",'Game History'!I:I,Instructions!A83)+COUNTIFS('Game History'!A:A,("&gt;"&amp;(TODAY()-548)),'Game History'!G:G,"MRDA",'Game History'!H:H,"Reg",'Game History'!J:J,Instructions!A83)</f>
        <v>0</v>
      </c>
      <c r="L66" s="157" t="n">
        <f aca="false">SUM(I66+J66+K66)</f>
        <v>0</v>
      </c>
      <c r="M66" s="156" t="n">
        <f aca="true">COUNTIFS('Game History'!A:A,("&gt;"&amp;(TODAY()-548)),'Game History'!G:G,"MRDA",'Game History'!I:I,A66,'Game History'!K:K,"Y")+COUNTIFS('Game History'!A:A,("&gt;"&amp;(TODAY()-548)),'Game History'!G:G,"MRDA",'Game History'!J:J,A66,'Game History'!K:K,"Y")</f>
        <v>0</v>
      </c>
      <c r="Q66" s="147"/>
      <c r="R66" s="147"/>
      <c r="S66" s="147"/>
      <c r="T66" s="147"/>
    </row>
    <row r="67" customFormat="false" ht="15.75" hidden="false" customHeight="false" outlineLevel="0" collapsed="false">
      <c r="A67" s="178" t="s">
        <v>57</v>
      </c>
      <c r="B67" s="160" t="n">
        <f aca="true">COUNTIFS('Game History'!A:A,("&gt;"&amp;(TODAY()-365)),'Game History'!G:G,"MRDA",'Game History'!H:H,"Champs",'Game History'!I:I,Instructions!A84)+COUNTIFS('Game History'!A:A,("&gt;"&amp;(TODAY()-365)),'Game History'!G:G,"MRDA",'Game History'!H:H,"Playoff",'Game History'!I:I,Instructions!A84)+COUNTIFS('Game History'!A:A,("&gt;"&amp;(TODAY()-365)),'Game History'!G:G,"MRDA",'Game History'!H:H,"Champs",'Game History'!J:J,Instructions!A84)+COUNTIFS('Game History'!A:A,("&gt;"&amp;(TODAY()-365)),'Game History'!G:G,"MRDA",'Game History'!H:H,"Playoff",'Game History'!J:J,Instructions!A84)</f>
        <v>0</v>
      </c>
      <c r="C67" s="160" t="n">
        <f aca="true">COUNTIFS('Game History'!A:A,("&gt;"&amp;(TODAY()-365)),'Game History'!G:G,"MRDA",'Game History'!H:H,"Sanc",'Game History'!I:I,Instructions!A84)+COUNTIFS('Game History'!A:A,("&gt;"&amp;(TODAY()-365)),'Game History'!G:G,"MRDA",'Game History'!H:H,"Sanc",'Game History'!J:J,Instructions!A84)</f>
        <v>0</v>
      </c>
      <c r="D67" s="160" t="n">
        <f aca="true">COUNTIFS('Game History'!A:A,("&gt;"&amp;(TODAY()-365)),'Game History'!G:G,"MRDA",'Game History'!H:H,"Reg",'Game History'!I:I,Instructions!A84)+COUNTIFS('Game History'!A:A,("&gt;"&amp;(TODAY()-365)),'Game History'!G:G,"MRDA",'Game History'!H:H,"Reg",'Game History'!J:J,Instructions!A84)</f>
        <v>0</v>
      </c>
      <c r="E67" s="157" t="n">
        <f aca="false">SUM(B67+C67+D67)</f>
        <v>0</v>
      </c>
      <c r="F67" s="156" t="n">
        <f aca="true">COUNTIFS('Game History'!A:A,("&gt;"&amp;(TODAY()-365)),'Game History'!G:G,"MRDA",'Game History'!I:I,A67,'Game History'!K:K,"Y")+COUNTIFS('Game History'!A:A,("&gt;"&amp;(TODAY()-365)),'Game History'!G:G,"MRDA",'Game History'!J:J,A67,'Game History'!K:K,"Y")</f>
        <v>0</v>
      </c>
      <c r="G67" s="147"/>
      <c r="H67" s="179" t="s">
        <v>57</v>
      </c>
      <c r="I67" s="156" t="n">
        <f aca="true">COUNTIFS('Game History'!A:A,("&gt;"&amp;(TODAY()-548)),'Game History'!G:G,"MRDA",'Game History'!H:H,"Champs",'Game History'!I:I,Instructions!A84)+COUNTIFS('Game History'!A:A,("&gt;"&amp;(TODAY()-548)),'Game History'!G:G,"MRDA",'Game History'!H:H,"Playoff",'Game History'!I:I,Instructions!A84)+COUNTIFS('Game History'!A:A,("&gt;"&amp;(TODAY()-548)),'Game History'!G:G,"MRDA",'Game History'!H:H,"Champs",'Game History'!J:J,Instructions!A84)+COUNTIFS('Game History'!A:A,("&gt;"&amp;(TODAY()-548)),'Game History'!G:G,"MRDA",'Game History'!H:H,"Playoff",'Game History'!J:J,Instructions!A84)</f>
        <v>0</v>
      </c>
      <c r="J67" s="156" t="n">
        <f aca="true">COUNTIFS('Game History'!A:A,("&gt;"&amp;(TODAY()-548)),'Game History'!G:G,"MRDA",'Game History'!H:H,"Sanc",'Game History'!I:I,Instructions!A84)+COUNTIFS('Game History'!A:A,("&gt;"&amp;(TODAY()-548)),'Game History'!G:G,"MRDA",'Game History'!H:H,"Sanc",'Game History'!J:J,Instructions!A84)</f>
        <v>0</v>
      </c>
      <c r="K67" s="160" t="n">
        <f aca="true">COUNTIFS('Game History'!A:A,("&gt;"&amp;(TODAY()-548)),'Game History'!G:G,"MRDA",'Game History'!H:H,"Reg",'Game History'!I:I,Instructions!A84)+COUNTIFS('Game History'!A:A,("&gt;"&amp;(TODAY()-548)),'Game History'!G:G,"MRDA",'Game History'!H:H,"Reg",'Game History'!J:J,Instructions!A84)</f>
        <v>0</v>
      </c>
      <c r="L67" s="157" t="n">
        <f aca="false">SUM(I67+J67+K67)</f>
        <v>0</v>
      </c>
      <c r="M67" s="156" t="n">
        <f aca="true">COUNTIFS('Game History'!A:A,("&gt;"&amp;(TODAY()-548)),'Game History'!G:G,"MRDA",'Game History'!I:I,A67,'Game History'!K:K,"Y")+COUNTIFS('Game History'!A:A,("&gt;"&amp;(TODAY()-548)),'Game History'!G:G,"MRDA",'Game History'!J:J,A67,'Game History'!K:K,"Y")</f>
        <v>0</v>
      </c>
      <c r="Q67" s="147"/>
      <c r="R67" s="147"/>
      <c r="S67" s="147"/>
      <c r="T67" s="147"/>
    </row>
    <row r="68" customFormat="false" ht="15.75" hidden="false" customHeight="false" outlineLevel="0" collapsed="false">
      <c r="A68" s="178" t="s">
        <v>61</v>
      </c>
      <c r="B68" s="160" t="n">
        <f aca="true">COUNTIFS('Game History'!A:A,("&gt;"&amp;(TODAY()-365)),'Game History'!G:G,"MRDA",'Game History'!H:H,"Champs",'Game History'!I:I,Instructions!A85)+COUNTIFS('Game History'!A:A,("&gt;"&amp;(TODAY()-365)),'Game History'!G:G,"MRDA",'Game History'!H:H,"Playoff",'Game History'!I:I,Instructions!A85)+COUNTIFS('Game History'!A:A,("&gt;"&amp;(TODAY()-365)),'Game History'!G:G,"MRDA",'Game History'!H:H,"Champs",'Game History'!J:J,Instructions!A85)+COUNTIFS('Game History'!A:A,("&gt;"&amp;(TODAY()-365)),'Game History'!G:G,"MRDA",'Game History'!H:H,"Playoff",'Game History'!J:J,Instructions!A85)</f>
        <v>0</v>
      </c>
      <c r="C68" s="160" t="n">
        <f aca="true">COUNTIFS('Game History'!A:A,("&gt;"&amp;(TODAY()-365)),'Game History'!G:G,"MRDA",'Game History'!H:H,"Sanc",'Game History'!I:I,Instructions!A85)+COUNTIFS('Game History'!A:A,("&gt;"&amp;(TODAY()-365)),'Game History'!G:G,"MRDA",'Game History'!H:H,"Sanc",'Game History'!J:J,Instructions!A85)</f>
        <v>0</v>
      </c>
      <c r="D68" s="160" t="n">
        <f aca="true">COUNTIFS('Game History'!A:A,("&gt;"&amp;(TODAY()-365)),'Game History'!G:G,"MRDA",'Game History'!H:H,"Reg",'Game History'!I:I,Instructions!A85)+COUNTIFS('Game History'!A:A,("&gt;"&amp;(TODAY()-365)),'Game History'!G:G,"MRDA",'Game History'!H:H,"Reg",'Game History'!J:J,Instructions!A85)</f>
        <v>0</v>
      </c>
      <c r="E68" s="157" t="n">
        <f aca="false">SUM(B68+C68+D68)</f>
        <v>0</v>
      </c>
      <c r="F68" s="156" t="n">
        <f aca="true">COUNTIFS('Game History'!A:A,("&gt;"&amp;(TODAY()-365)),'Game History'!G:G,"MRDA",'Game History'!I:I,A68,'Game History'!K:K,"Y")+COUNTIFS('Game History'!A:A,("&gt;"&amp;(TODAY()-365)),'Game History'!G:G,"MRDA",'Game History'!J:J,A68,'Game History'!K:K,"Y")</f>
        <v>0</v>
      </c>
      <c r="G68" s="147"/>
      <c r="H68" s="179" t="s">
        <v>61</v>
      </c>
      <c r="I68" s="156" t="n">
        <f aca="true">COUNTIFS('Game History'!A:A,("&gt;"&amp;(TODAY()-548)),'Game History'!G:G,"MRDA",'Game History'!H:H,"Champs",'Game History'!I:I,Instructions!A85)+COUNTIFS('Game History'!A:A,("&gt;"&amp;(TODAY()-548)),'Game History'!G:G,"MRDA",'Game History'!H:H,"Playoff",'Game History'!I:I,Instructions!A85)+COUNTIFS('Game History'!A:A,("&gt;"&amp;(TODAY()-548)),'Game History'!G:G,"MRDA",'Game History'!H:H,"Champs",'Game History'!J:J,Instructions!A85)+COUNTIFS('Game History'!A:A,("&gt;"&amp;(TODAY()-548)),'Game History'!G:G,"MRDA",'Game History'!H:H,"Playoff",'Game History'!J:J,Instructions!A85)</f>
        <v>0</v>
      </c>
      <c r="J68" s="156" t="n">
        <f aca="true">COUNTIFS('Game History'!A:A,("&gt;"&amp;(TODAY()-548)),'Game History'!G:G,"MRDA",'Game History'!H:H,"Sanc",'Game History'!I:I,Instructions!A85)+COUNTIFS('Game History'!A:A,("&gt;"&amp;(TODAY()-548)),'Game History'!G:G,"MRDA",'Game History'!H:H,"Sanc",'Game History'!J:J,Instructions!A85)</f>
        <v>0</v>
      </c>
      <c r="K68" s="160" t="n">
        <f aca="true">COUNTIFS('Game History'!A:A,("&gt;"&amp;(TODAY()-548)),'Game History'!G:G,"MRDA",'Game History'!H:H,"Reg",'Game History'!I:I,Instructions!A85)+COUNTIFS('Game History'!A:A,("&gt;"&amp;(TODAY()-548)),'Game History'!G:G,"MRDA",'Game History'!H:H,"Reg",'Game History'!J:J,Instructions!A85)</f>
        <v>0</v>
      </c>
      <c r="L68" s="157" t="n">
        <f aca="false">SUM(I68+J68+K68)</f>
        <v>0</v>
      </c>
      <c r="M68" s="156" t="n">
        <f aca="true">COUNTIFS('Game History'!A:A,("&gt;"&amp;(TODAY()-548)),'Game History'!G:G,"MRDA",'Game History'!I:I,A68,'Game History'!K:K,"Y")+COUNTIFS('Game History'!A:A,("&gt;"&amp;(TODAY()-548)),'Game History'!G:G,"MRDA",'Game History'!J:J,A68,'Game History'!K:K,"Y")</f>
        <v>0</v>
      </c>
      <c r="Q68" s="147"/>
      <c r="R68" s="147"/>
      <c r="S68" s="147"/>
      <c r="T68" s="147"/>
    </row>
    <row r="69" customFormat="false" ht="15.75" hidden="false" customHeight="false" outlineLevel="0" collapsed="false">
      <c r="A69" s="178" t="s">
        <v>65</v>
      </c>
      <c r="B69" s="160" t="n">
        <f aca="true">COUNTIFS('Game History'!A:A,("&gt;"&amp;(TODAY()-365)),'Game History'!G:G,"MRDA",'Game History'!H:H,"Champs",'Game History'!I:I,Instructions!A86)+COUNTIFS('Game History'!A:A,("&gt;"&amp;(TODAY()-365)),'Game History'!G:G,"MRDA",'Game History'!H:H,"Playoff",'Game History'!I:I,Instructions!A86)+COUNTIFS('Game History'!A:A,("&gt;"&amp;(TODAY()-365)),'Game History'!G:G,"MRDA",'Game History'!H:H,"Champs",'Game History'!J:J,Instructions!A86)+COUNTIFS('Game History'!A:A,("&gt;"&amp;(TODAY()-365)),'Game History'!G:G,"MRDA",'Game History'!H:H,"Playoff",'Game History'!J:J,Instructions!A86)</f>
        <v>0</v>
      </c>
      <c r="C69" s="160" t="n">
        <f aca="true">COUNTIFS('Game History'!A:A,("&gt;"&amp;(TODAY()-365)),'Game History'!G:G,"MRDA",'Game History'!H:H,"Sanc",'Game History'!I:I,Instructions!A86)+COUNTIFS('Game History'!A:A,("&gt;"&amp;(TODAY()-365)),'Game History'!G:G,"MRDA",'Game History'!H:H,"Sanc",'Game History'!J:J,Instructions!A86)</f>
        <v>0</v>
      </c>
      <c r="D69" s="160" t="n">
        <f aca="true">COUNTIFS('Game History'!A:A,("&gt;"&amp;(TODAY()-365)),'Game History'!G:G,"MRDA",'Game History'!H:H,"Reg",'Game History'!I:I,Instructions!A86)+COUNTIFS('Game History'!A:A,("&gt;"&amp;(TODAY()-365)),'Game History'!G:G,"MRDA",'Game History'!H:H,"Reg",'Game History'!J:J,Instructions!A86)</f>
        <v>0</v>
      </c>
      <c r="E69" s="157" t="n">
        <f aca="false">SUM(B69+C69+D69)</f>
        <v>0</v>
      </c>
      <c r="F69" s="156" t="n">
        <f aca="true">COUNTIFS('Game History'!A:A,("&gt;"&amp;(TODAY()-365)),'Game History'!G:G,"MRDA",'Game History'!I:I,A69,'Game History'!K:K,"Y")+COUNTIFS('Game History'!A:A,("&gt;"&amp;(TODAY()-365)),'Game History'!G:G,"MRDA",'Game History'!J:J,A69,'Game History'!K:K,"Y")</f>
        <v>0</v>
      </c>
      <c r="G69" s="147"/>
      <c r="H69" s="179" t="s">
        <v>65</v>
      </c>
      <c r="I69" s="156" t="n">
        <f aca="true">COUNTIFS('Game History'!A:A,("&gt;"&amp;(TODAY()-548)),'Game History'!G:G,"MRDA",'Game History'!H:H,"Champs",'Game History'!I:I,Instructions!A86)+COUNTIFS('Game History'!A:A,("&gt;"&amp;(TODAY()-548)),'Game History'!G:G,"MRDA",'Game History'!H:H,"Playoff",'Game History'!I:I,Instructions!A86)+COUNTIFS('Game History'!A:A,("&gt;"&amp;(TODAY()-548)),'Game History'!G:G,"MRDA",'Game History'!H:H,"Champs",'Game History'!J:J,Instructions!A86)+COUNTIFS('Game History'!A:A,("&gt;"&amp;(TODAY()-548)),'Game History'!G:G,"MRDA",'Game History'!H:H,"Playoff",'Game History'!J:J,Instructions!A86)</f>
        <v>0</v>
      </c>
      <c r="J69" s="156" t="n">
        <f aca="true">COUNTIFS('Game History'!A:A,("&gt;"&amp;(TODAY()-548)),'Game History'!G:G,"MRDA",'Game History'!H:H,"Sanc",'Game History'!I:I,Instructions!A86)+COUNTIFS('Game History'!A:A,("&gt;"&amp;(TODAY()-548)),'Game History'!G:G,"MRDA",'Game History'!H:H,"Sanc",'Game History'!J:J,Instructions!A86)</f>
        <v>0</v>
      </c>
      <c r="K69" s="160" t="n">
        <f aca="true">COUNTIFS('Game History'!A:A,("&gt;"&amp;(TODAY()-548)),'Game History'!G:G,"MRDA",'Game History'!H:H,"Reg",'Game History'!I:I,Instructions!A86)+COUNTIFS('Game History'!A:A,("&gt;"&amp;(TODAY()-548)),'Game History'!G:G,"MRDA",'Game History'!H:H,"Reg",'Game History'!J:J,Instructions!A86)</f>
        <v>0</v>
      </c>
      <c r="L69" s="157" t="n">
        <f aca="false">SUM(I69+J69+K69)</f>
        <v>0</v>
      </c>
      <c r="M69" s="156" t="n">
        <f aca="true">COUNTIFS('Game History'!A:A,("&gt;"&amp;(TODAY()-548)),'Game History'!G:G,"MRDA",'Game History'!I:I,A69,'Game History'!K:K,"Y")+COUNTIFS('Game History'!A:A,("&gt;"&amp;(TODAY()-548)),'Game History'!G:G,"MRDA",'Game History'!J:J,A69,'Game History'!K:K,"Y")</f>
        <v>0</v>
      </c>
      <c r="Q69" s="147"/>
      <c r="R69" s="147"/>
      <c r="S69" s="147"/>
      <c r="T69" s="147"/>
    </row>
    <row r="70" customFormat="false" ht="15.75" hidden="false" customHeight="false" outlineLevel="0" collapsed="false">
      <c r="A70" s="178" t="s">
        <v>455</v>
      </c>
      <c r="B70" s="160" t="n">
        <f aca="true">COUNTIFS('Game History'!A:A,("&gt;"&amp;(TODAY()-365)),'Game History'!G:G,"MRDA",'Game History'!H:H,"Champs",'Game History'!I:I,Instructions!A88)+COUNTIFS('Game History'!A:A,("&gt;"&amp;(TODAY()-365)),'Game History'!G:G,"MRDA",'Game History'!H:H,"Playoff",'Game History'!I:I,Instructions!A88)</f>
        <v>0</v>
      </c>
      <c r="C70" s="156" t="n">
        <f aca="true">COUNTIFS('Game History'!A:A,("&gt;"&amp;(TODAY()-365)),'Game History'!G:G,"MRDA",'Game History'!H:H,"Sanc",'Game History'!I:I,Instructions!A88)</f>
        <v>0</v>
      </c>
      <c r="D70" s="160" t="n">
        <f aca="true">COUNTIFS('Game History'!A:A,("&gt;"&amp;(TODAY()-365)),'Game History'!G:G,"MRDA",'Game History'!H:H,"Reg",'Game History'!I:I,Instructions!A88)</f>
        <v>0</v>
      </c>
      <c r="E70" s="157" t="n">
        <f aca="false">SUM(B70+C70+D70)</f>
        <v>0</v>
      </c>
      <c r="F70" s="180"/>
      <c r="G70" s="147"/>
      <c r="H70" s="179" t="s">
        <v>455</v>
      </c>
      <c r="I70" s="156" t="n">
        <f aca="true">COUNTIFS('Game History'!A:A,("&gt;"&amp;(TODAY()-548)),'Game History'!G:G,"MRDA",'Game History'!H:H,"Champs",'Game History'!I:I,Instructions!A88)+COUNTIFS('Game History'!A:A,("&gt;"&amp;(TODAY()-548)),'Game History'!G:G,"MRDA",'Game History'!H:H,"Playoff",'Game History'!I:I,Instructions!A88)</f>
        <v>0</v>
      </c>
      <c r="J70" s="156" t="n">
        <f aca="true">COUNTIFS('Game History'!A:A,("&gt;"&amp;(TODAY()-548)),'Game History'!G:G,"MRDA",'Game History'!H:H,"Sanc",'Game History'!I:I,Instructions!A88)</f>
        <v>0</v>
      </c>
      <c r="K70" s="160" t="n">
        <f aca="true">COUNTIFS('Game History'!A:A,("&gt;"&amp;(TODAY()-548)),'Game History'!G:G,"MRDA",'Game History'!H:H,"Reg",'Game History'!I:I,Instructions!A88)</f>
        <v>0</v>
      </c>
      <c r="L70" s="157" t="n">
        <f aca="false">SUM(I70+J70+K70)</f>
        <v>0</v>
      </c>
      <c r="M70" s="181"/>
      <c r="Q70" s="147"/>
      <c r="R70" s="147"/>
      <c r="S70" s="147"/>
      <c r="T70" s="147"/>
    </row>
    <row r="71" customFormat="false" ht="15.75" hidden="false" customHeight="false" outlineLevel="0" collapsed="false">
      <c r="A71" s="178" t="s">
        <v>456</v>
      </c>
      <c r="B71" s="157" t="n">
        <f aca="false">SUM(B57:B70)</f>
        <v>0</v>
      </c>
      <c r="C71" s="161" t="n">
        <f aca="false">SUM(C57:C70)</f>
        <v>0</v>
      </c>
      <c r="D71" s="157" t="n">
        <f aca="false">SUM(D57:D70)</f>
        <v>0</v>
      </c>
      <c r="E71" s="157" t="n">
        <f aca="false">SUM(E57:E70)</f>
        <v>0</v>
      </c>
      <c r="F71" s="161" t="n">
        <f aca="false">SUM(F60:F69)</f>
        <v>0</v>
      </c>
      <c r="G71" s="147"/>
      <c r="H71" s="179" t="s">
        <v>456</v>
      </c>
      <c r="I71" s="157" t="n">
        <f aca="false">SUM(I57:I70)</f>
        <v>0</v>
      </c>
      <c r="J71" s="164" t="n">
        <f aca="false">SUM(J57:J70)</f>
        <v>0</v>
      </c>
      <c r="K71" s="157" t="n">
        <f aca="false">SUM(K57:K70)</f>
        <v>0</v>
      </c>
      <c r="L71" s="157" t="n">
        <f aca="false">SUM(L57:L70)</f>
        <v>0</v>
      </c>
      <c r="M71" s="157" t="n">
        <f aca="false">SUM(M60:M69)</f>
        <v>0</v>
      </c>
      <c r="Q71" s="147"/>
      <c r="R71" s="147"/>
      <c r="S71" s="147"/>
      <c r="T71" s="147"/>
    </row>
    <row r="72" customFormat="false" ht="15.75" hidden="false" customHeight="false" outlineLevel="0" collapsed="false">
      <c r="A72" s="149"/>
      <c r="B72" s="149"/>
      <c r="C72" s="149"/>
      <c r="D72" s="149"/>
      <c r="E72" s="149"/>
      <c r="F72" s="150"/>
      <c r="G72" s="147"/>
      <c r="H72" s="147"/>
      <c r="I72" s="149"/>
      <c r="J72" s="149"/>
      <c r="K72" s="149"/>
      <c r="L72" s="149"/>
      <c r="M72" s="150"/>
      <c r="N72" s="147"/>
      <c r="Q72" s="147"/>
      <c r="R72" s="147"/>
      <c r="S72" s="147"/>
      <c r="T72" s="147"/>
    </row>
    <row r="73" customFormat="false" ht="15.75" hidden="false" customHeight="false" outlineLevel="0" collapsed="false">
      <c r="A73" s="172" t="s">
        <v>459</v>
      </c>
      <c r="B73" s="172"/>
      <c r="C73" s="172"/>
      <c r="D73" s="172"/>
      <c r="E73" s="172"/>
      <c r="F73" s="166"/>
      <c r="G73" s="147"/>
      <c r="H73" s="182" t="s">
        <v>460</v>
      </c>
      <c r="I73" s="182"/>
      <c r="J73" s="182"/>
      <c r="K73" s="182"/>
      <c r="L73" s="182"/>
      <c r="M73" s="166"/>
      <c r="N73" s="147"/>
      <c r="Q73" s="147"/>
      <c r="R73" s="147"/>
      <c r="S73" s="147"/>
      <c r="T73" s="147"/>
    </row>
    <row r="74" customFormat="false" ht="15.75" hidden="false" customHeight="false" outlineLevel="0" collapsed="false">
      <c r="A74" s="178" t="s">
        <v>28</v>
      </c>
      <c r="B74" s="178"/>
      <c r="C74" s="178"/>
      <c r="D74" s="160" t="n">
        <f aca="false">SUM(E57:E59)</f>
        <v>0</v>
      </c>
      <c r="E74" s="160"/>
      <c r="F74" s="166"/>
      <c r="G74" s="147"/>
      <c r="H74" s="183" t="s">
        <v>28</v>
      </c>
      <c r="I74" s="183"/>
      <c r="J74" s="183"/>
      <c r="K74" s="184" t="n">
        <f aca="false">SUM(L57:L59)</f>
        <v>0</v>
      </c>
      <c r="L74" s="184"/>
      <c r="M74" s="166"/>
      <c r="N74" s="147"/>
      <c r="Q74" s="147"/>
      <c r="R74" s="147"/>
      <c r="S74" s="147"/>
      <c r="T74" s="147"/>
    </row>
    <row r="75" customFormat="false" ht="15.75" hidden="false" customHeight="false" outlineLevel="0" collapsed="false">
      <c r="A75" s="178" t="s">
        <v>461</v>
      </c>
      <c r="B75" s="178"/>
      <c r="C75" s="178"/>
      <c r="D75" s="160" t="n">
        <f aca="false">SUM(E60:E63)</f>
        <v>0</v>
      </c>
      <c r="E75" s="160"/>
      <c r="F75" s="166"/>
      <c r="G75" s="147"/>
      <c r="H75" s="183" t="s">
        <v>461</v>
      </c>
      <c r="I75" s="183"/>
      <c r="J75" s="183"/>
      <c r="K75" s="184" t="n">
        <f aca="false">SUM(L60:L63)</f>
        <v>0</v>
      </c>
      <c r="L75" s="184"/>
      <c r="M75" s="166"/>
      <c r="N75" s="147"/>
      <c r="Q75" s="147"/>
      <c r="R75" s="147"/>
      <c r="S75" s="147"/>
      <c r="T75" s="147"/>
    </row>
    <row r="76" customFormat="false" ht="15.75" hidden="false" customHeight="false" outlineLevel="0" collapsed="false">
      <c r="A76" s="178" t="s">
        <v>462</v>
      </c>
      <c r="B76" s="178"/>
      <c r="C76" s="178"/>
      <c r="D76" s="160" t="n">
        <f aca="false">SUM(E64:E66)</f>
        <v>0</v>
      </c>
      <c r="E76" s="160"/>
      <c r="F76" s="166"/>
      <c r="G76" s="147"/>
      <c r="H76" s="183" t="s">
        <v>467</v>
      </c>
      <c r="I76" s="183"/>
      <c r="J76" s="183"/>
      <c r="K76" s="184" t="n">
        <f aca="false">SUM(L64:L66)</f>
        <v>0</v>
      </c>
      <c r="L76" s="184"/>
      <c r="M76" s="166"/>
      <c r="N76" s="147"/>
      <c r="Q76" s="147"/>
      <c r="R76" s="147"/>
      <c r="S76" s="147"/>
      <c r="T76" s="147"/>
    </row>
    <row r="77" customFormat="false" ht="15.75" hidden="false" customHeight="false" outlineLevel="0" collapsed="false">
      <c r="A77" s="178" t="s">
        <v>463</v>
      </c>
      <c r="B77" s="178"/>
      <c r="C77" s="178"/>
      <c r="D77" s="160" t="n">
        <f aca="false">SUM(E67:E69)</f>
        <v>0</v>
      </c>
      <c r="E77" s="160"/>
      <c r="F77" s="166"/>
      <c r="G77" s="147"/>
      <c r="H77" s="183" t="s">
        <v>463</v>
      </c>
      <c r="I77" s="183"/>
      <c r="J77" s="183"/>
      <c r="K77" s="184" t="n">
        <f aca="false">SUM(L67:L69)</f>
        <v>0</v>
      </c>
      <c r="L77" s="184"/>
      <c r="M77" s="166"/>
      <c r="N77" s="147"/>
      <c r="Q77" s="147"/>
      <c r="R77" s="147"/>
      <c r="S77" s="147"/>
      <c r="T77" s="147"/>
    </row>
    <row r="78" customFormat="false" ht="12.8" hidden="false" customHeight="false" outlineLevel="0" collapsed="false">
      <c r="A78" s="147"/>
      <c r="B78" s="147"/>
      <c r="C78" s="147"/>
      <c r="D78" s="147"/>
      <c r="E78" s="147"/>
      <c r="F78" s="147"/>
      <c r="G78" s="147"/>
      <c r="H78" s="147"/>
      <c r="I78" s="147"/>
      <c r="J78" s="147"/>
      <c r="K78" s="147"/>
      <c r="L78" s="147"/>
      <c r="M78" s="147"/>
      <c r="N78" s="147"/>
      <c r="O78" s="147"/>
      <c r="P78" s="147"/>
      <c r="Q78" s="147"/>
      <c r="R78" s="147"/>
      <c r="S78" s="147"/>
      <c r="T78" s="147"/>
    </row>
  </sheetData>
  <mergeCells count="41">
    <mergeCell ref="A1:M1"/>
    <mergeCell ref="A2:M2"/>
    <mergeCell ref="A15:M15"/>
    <mergeCell ref="A34:E34"/>
    <mergeCell ref="H34:L34"/>
    <mergeCell ref="A35:C35"/>
    <mergeCell ref="D35:E35"/>
    <mergeCell ref="H35:J35"/>
    <mergeCell ref="K35:L35"/>
    <mergeCell ref="A36:C36"/>
    <mergeCell ref="D36:E36"/>
    <mergeCell ref="H36:J36"/>
    <mergeCell ref="K36:L36"/>
    <mergeCell ref="A37:C37"/>
    <mergeCell ref="D37:E37"/>
    <mergeCell ref="H37:J37"/>
    <mergeCell ref="K37:L37"/>
    <mergeCell ref="A38:C38"/>
    <mergeCell ref="D38:E38"/>
    <mergeCell ref="H38:J38"/>
    <mergeCell ref="K38:L38"/>
    <mergeCell ref="A41:M41"/>
    <mergeCell ref="A54:M54"/>
    <mergeCell ref="A73:E73"/>
    <mergeCell ref="H73:L73"/>
    <mergeCell ref="A74:C74"/>
    <mergeCell ref="D74:E74"/>
    <mergeCell ref="H74:J74"/>
    <mergeCell ref="K74:L74"/>
    <mergeCell ref="A75:C75"/>
    <mergeCell ref="D75:E75"/>
    <mergeCell ref="H75:J75"/>
    <mergeCell ref="K75:L75"/>
    <mergeCell ref="A76:C76"/>
    <mergeCell ref="D76:E76"/>
    <mergeCell ref="H76:J76"/>
    <mergeCell ref="K76:L76"/>
    <mergeCell ref="A77:C77"/>
    <mergeCell ref="D77:E77"/>
    <mergeCell ref="H77:J77"/>
    <mergeCell ref="K77:L7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75" customHeight="true" zeroHeight="false" outlineLevelRow="0" outlineLevelCol="0"/>
  <cols>
    <col collapsed="false" customWidth="true" hidden="false" outlineLevel="0" max="1" min="1" style="1" width="8.39"/>
    <col collapsed="false" customWidth="true" hidden="false" outlineLevel="0" max="2" min="2" style="1" width="17.4"/>
    <col collapsed="false" customWidth="true" hidden="false" outlineLevel="0" max="3" min="3" style="1" width="6.12"/>
    <col collapsed="false" customWidth="true" hidden="false" outlineLevel="0" max="7" min="4" style="1" width="7.88"/>
    <col collapsed="false" customWidth="true" hidden="false" outlineLevel="0" max="8" min="8" style="1" width="1.63"/>
    <col collapsed="false" customWidth="true" hidden="false" outlineLevel="0" max="9" min="9" style="1" width="19.27"/>
    <col collapsed="false" customWidth="true" hidden="false" outlineLevel="0" max="10" min="10" style="1" width="5.88"/>
    <col collapsed="false" customWidth="true" hidden="false" outlineLevel="0" max="14" min="11" style="1" width="7.76"/>
    <col collapsed="false" customWidth="true" hidden="false" outlineLevel="0" max="1024" min="15" style="1" width="12.64"/>
  </cols>
  <sheetData>
    <row r="1" customFormat="false" ht="18" hidden="false" customHeight="true" outlineLevel="0" collapsed="false">
      <c r="A1" s="185" t="s">
        <v>468</v>
      </c>
      <c r="B1" s="185"/>
      <c r="C1" s="185"/>
      <c r="D1" s="185"/>
      <c r="E1" s="185"/>
      <c r="F1" s="185"/>
      <c r="G1" s="185"/>
      <c r="H1" s="185"/>
      <c r="I1" s="185"/>
      <c r="J1" s="185"/>
      <c r="K1" s="185"/>
      <c r="L1" s="185"/>
      <c r="M1" s="185"/>
      <c r="N1" s="185"/>
    </row>
    <row r="2" customFormat="false" ht="18" hidden="false" customHeight="true" outlineLevel="0" collapsed="false">
      <c r="A2" s="186" t="s">
        <v>16</v>
      </c>
      <c r="B2" s="186"/>
      <c r="C2" s="187" t="s">
        <v>17</v>
      </c>
      <c r="D2" s="188" t="s">
        <v>18</v>
      </c>
      <c r="E2" s="188"/>
      <c r="F2" s="188"/>
      <c r="G2" s="188"/>
      <c r="H2" s="189"/>
      <c r="I2" s="190" t="s">
        <v>19</v>
      </c>
      <c r="J2" s="191" t="s">
        <v>17</v>
      </c>
      <c r="K2" s="192" t="s">
        <v>18</v>
      </c>
      <c r="L2" s="192"/>
      <c r="M2" s="192"/>
      <c r="N2" s="192"/>
    </row>
    <row r="3" customFormat="false" ht="28.5" hidden="false" customHeight="true" outlineLevel="0" collapsed="false">
      <c r="A3" s="186"/>
      <c r="B3" s="186"/>
      <c r="C3" s="187"/>
      <c r="D3" s="193" t="s">
        <v>20</v>
      </c>
      <c r="E3" s="194" t="s">
        <v>21</v>
      </c>
      <c r="F3" s="194" t="s">
        <v>22</v>
      </c>
      <c r="G3" s="194" t="s">
        <v>23</v>
      </c>
      <c r="H3" s="189"/>
      <c r="I3" s="190"/>
      <c r="J3" s="190"/>
      <c r="K3" s="195" t="s">
        <v>20</v>
      </c>
      <c r="L3" s="196" t="s">
        <v>21</v>
      </c>
      <c r="M3" s="196" t="s">
        <v>22</v>
      </c>
      <c r="N3" s="196" t="s">
        <v>23</v>
      </c>
    </row>
    <row r="4" customFormat="false" ht="15" hidden="false" customHeight="true" outlineLevel="0" collapsed="false">
      <c r="A4" s="186" t="s">
        <v>24</v>
      </c>
      <c r="B4" s="186"/>
      <c r="C4" s="197" t="s">
        <v>25</v>
      </c>
      <c r="D4" s="198" t="s">
        <v>26</v>
      </c>
      <c r="E4" s="88" t="n">
        <f aca="false">COUNTIFS('Other History'!H:H,"Sanc",'Other History'!I:I,Instructions!A70)</f>
        <v>0</v>
      </c>
      <c r="F4" s="88" t="n">
        <f aca="false">COUNTIFS('Other History'!H:H,"Reg",'Other History'!I:I,Instructions!A70)</f>
        <v>0</v>
      </c>
      <c r="G4" s="88" t="n">
        <f aca="false">COUNTIFS('Other History'!H:H,"Other",'Other History'!I:I,Instructions!A70)</f>
        <v>0</v>
      </c>
      <c r="H4" s="189"/>
      <c r="I4" s="199" t="s">
        <v>27</v>
      </c>
      <c r="J4" s="197" t="s">
        <v>28</v>
      </c>
      <c r="K4" s="198" t="s">
        <v>26</v>
      </c>
      <c r="L4" s="198" t="n">
        <f aca="false">COUNTIFS('Other History'!H:H,"Sanc",'Other History'!I:I,Instructions!A73)</f>
        <v>0</v>
      </c>
      <c r="M4" s="88" t="n">
        <f aca="false">COUNTIFS('Other History'!H:H,"Reg",'Other History'!I:I,Instructions!A73)</f>
        <v>0</v>
      </c>
      <c r="N4" s="88" t="n">
        <f aca="false">COUNTIFS('Other History'!H:H,"Other",'Other History'!I:I,Instructions!A73)</f>
        <v>0</v>
      </c>
    </row>
    <row r="5" customFormat="false" ht="15" hidden="false" customHeight="true" outlineLevel="0" collapsed="false">
      <c r="A5" s="186" t="s">
        <v>29</v>
      </c>
      <c r="B5" s="186"/>
      <c r="C5" s="197" t="s">
        <v>30</v>
      </c>
      <c r="D5" s="88" t="n">
        <f aca="false">COUNTIFS('Other History'!H:H,"Champs",'Other History'!I:I,Instructions!A74)+COUNTIFS('Other History'!H:H,"Playoff",'Other History'!I:I,Instructions!A74)</f>
        <v>0</v>
      </c>
      <c r="E5" s="88" t="n">
        <f aca="false">COUNTIFS('Other History'!H:H,"Sanc",'Other History'!I:I,Instructions!A74)</f>
        <v>0</v>
      </c>
      <c r="F5" s="88" t="n">
        <f aca="false">COUNTIFS('Other History'!H:H,"Reg",'Other History'!I:I,Instructions!A74)</f>
        <v>0</v>
      </c>
      <c r="G5" s="88" t="n">
        <f aca="false">COUNTIFS('Other History'!H:H,"Other",'Other History'!I:I,Instructions!A74)</f>
        <v>0</v>
      </c>
      <c r="H5" s="189"/>
      <c r="I5" s="199" t="s">
        <v>31</v>
      </c>
      <c r="J5" s="197" t="s">
        <v>32</v>
      </c>
      <c r="K5" s="88" t="n">
        <f aca="false">COUNTIFS('Other History'!H:H,"Champs",'Other History'!I:I,Instructions!A77)+COUNTIFS('Other History'!H:H,"Playoff",'Other History'!I:I,Instructions!A77)</f>
        <v>0</v>
      </c>
      <c r="L5" s="198" t="n">
        <f aca="false">COUNTIFS('Other History'!H:H,"Sanc",'Other History'!I:I,Instructions!A77)</f>
        <v>0</v>
      </c>
      <c r="M5" s="88" t="n">
        <f aca="false">COUNTIFS('Other History'!H:H,"Reg",'Other History'!I:I,Instructions!A77)</f>
        <v>0</v>
      </c>
      <c r="N5" s="88" t="n">
        <f aca="false">COUNTIFS('Other History'!H:H,"Other",'Other History'!I:I,Instructions!A77)</f>
        <v>0</v>
      </c>
    </row>
    <row r="6" customFormat="false" ht="15" hidden="false" customHeight="true" outlineLevel="0" collapsed="false">
      <c r="A6" s="186" t="s">
        <v>33</v>
      </c>
      <c r="B6" s="200"/>
      <c r="C6" s="197" t="s">
        <v>34</v>
      </c>
      <c r="D6" s="88" t="n">
        <f aca="false">COUNTIFS('Other History'!H:H,"Champs",'Other History'!I:I,Instructions!A75)+COUNTIFS('Other History'!H:H,"Playoff",'Other History'!I:I,Instructions!A75)</f>
        <v>0</v>
      </c>
      <c r="E6" s="88" t="n">
        <f aca="false">COUNTIFS('Other History'!H:H,"Sanc",'Other History'!I:I,Instructions!A75)</f>
        <v>0</v>
      </c>
      <c r="F6" s="88" t="n">
        <f aca="false">COUNTIFS('Other History'!H:H,"Reg",'Other History'!I:I,Instructions!A75)</f>
        <v>0</v>
      </c>
      <c r="G6" s="88" t="n">
        <f aca="false">COUNTIFS('Other History'!H:H,"Other",'Other History'!I:I,Instructions!A75)</f>
        <v>0</v>
      </c>
      <c r="H6" s="189"/>
      <c r="I6" s="199" t="s">
        <v>35</v>
      </c>
      <c r="J6" s="197" t="s">
        <v>36</v>
      </c>
      <c r="K6" s="88" t="n">
        <f aca="false">COUNTIFS('Other History'!H:H,"Champs",'Other History'!I:I,Instructions!A78)+COUNTIFS('Other History'!H:H,"Playoff",'Other History'!I:I,Instructions!A78)</f>
        <v>0</v>
      </c>
      <c r="L6" s="198" t="n">
        <f aca="false">COUNTIFS('Other History'!H:H,"Sanc",'Other History'!I:I,Instructions!A78)</f>
        <v>0</v>
      </c>
      <c r="M6" s="88" t="n">
        <f aca="false">COUNTIFS('Other History'!H:H,"Reg",'Other History'!I:I,Instructions!A78)</f>
        <v>0</v>
      </c>
      <c r="N6" s="88" t="n">
        <f aca="false">COUNTIFS('Other History'!H:H,"Other",'Other History'!I:I,Instructions!A78)</f>
        <v>0</v>
      </c>
    </row>
    <row r="7" customFormat="false" ht="15" hidden="false" customHeight="true" outlineLevel="0" collapsed="false">
      <c r="A7" s="186" t="s">
        <v>37</v>
      </c>
      <c r="B7" s="186"/>
      <c r="C7" s="197" t="s">
        <v>38</v>
      </c>
      <c r="D7" s="88" t="n">
        <f aca="false">COUNTIFS('Other History'!H:H,"Champs",'Other History'!I:I,Instructions!A76)+COUNTIFS('Other History'!H:H,"Playoff",'Other History'!I:I,Instructions!A76)</f>
        <v>0</v>
      </c>
      <c r="E7" s="88" t="n">
        <f aca="false">COUNTIFS('Other History'!H:H,"Sanc",'Other History'!I:I,Instructions!A76)</f>
        <v>0</v>
      </c>
      <c r="F7" s="88" t="n">
        <f aca="false">COUNTIFS('Other History'!H:H,"Reg",'Other History'!I:I,Instructions!A76)</f>
        <v>0</v>
      </c>
      <c r="G7" s="88" t="n">
        <f aca="false">COUNTIFS('Other History'!H:H,"Other",'Other History'!I:I,Instructions!A76)</f>
        <v>0</v>
      </c>
      <c r="H7" s="189"/>
      <c r="I7" s="199" t="s">
        <v>39</v>
      </c>
      <c r="J7" s="197" t="s">
        <v>40</v>
      </c>
      <c r="K7" s="88" t="n">
        <f aca="false">COUNTIFS('Other History'!H:H,"Champs",'Other History'!I:I,Instructions!A79)+COUNTIFS('Other History'!H:H,"Playoff",'Other History'!I:I,Instructions!A79)</f>
        <v>0</v>
      </c>
      <c r="L7" s="198" t="n">
        <f aca="false">COUNTIFS('Other History'!H:H,"Sanc",'Other History'!I:I,Instructions!A79)</f>
        <v>0</v>
      </c>
      <c r="M7" s="88" t="n">
        <f aca="false">COUNTIFS('Other History'!H:H,"Reg",'Other History'!I:I,Instructions!A79)</f>
        <v>0</v>
      </c>
      <c r="N7" s="88" t="n">
        <f aca="false">COUNTIFS('Other History'!H:H,"Other",'Other History'!I:I,Instructions!A79)</f>
        <v>0</v>
      </c>
    </row>
    <row r="8" customFormat="false" ht="15" hidden="false" customHeight="true" outlineLevel="0" collapsed="false">
      <c r="A8" s="186" t="s">
        <v>41</v>
      </c>
      <c r="B8" s="186"/>
      <c r="C8" s="197" t="s">
        <v>42</v>
      </c>
      <c r="D8" s="88" t="n">
        <f aca="false">COUNTIFS('Other History'!H:H,"Champs",'Other History'!I:I,Instructions!A87)+COUNTIFS('Other History'!H:H,"Playoff",'Other History'!I:I,Instructions!A87)</f>
        <v>0</v>
      </c>
      <c r="E8" s="88" t="n">
        <f aca="false">COUNTIFS('Other History'!H:H,"Sanc",'Other History'!I:I,Instructions!A87)</f>
        <v>0</v>
      </c>
      <c r="F8" s="88" t="n">
        <f aca="false">COUNTIFS('Other History'!H:H,"Reg",'Other History'!I:I,Instructions!A87)</f>
        <v>0</v>
      </c>
      <c r="G8" s="88" t="n">
        <f aca="false">COUNTIFS('Other History'!H:H,"Other",'Other History'!I:I,Instructions!A87)</f>
        <v>0</v>
      </c>
      <c r="H8" s="189"/>
      <c r="I8" s="199" t="s">
        <v>43</v>
      </c>
      <c r="J8" s="197" t="s">
        <v>44</v>
      </c>
      <c r="K8" s="88" t="n">
        <f aca="false">COUNTIFS('Other History'!H:H,"Champs",'Other History'!I:I,Instructions!A80)+COUNTIFS('Other History'!H:H,"Playoff",'Other History'!I:I,Instructions!A80)</f>
        <v>0</v>
      </c>
      <c r="L8" s="198" t="n">
        <f aca="false">COUNTIFS('Other History'!H:H,"Sanc",'Other History'!I:I,Instructions!A80)</f>
        <v>0</v>
      </c>
      <c r="M8" s="88" t="n">
        <f aca="false">COUNTIFS('Other History'!H:H,"Reg",'Other History'!I:I,Instructions!A80)</f>
        <v>0</v>
      </c>
      <c r="N8" s="88" t="n">
        <f aca="false">COUNTIFS('Other History'!H:H,"Other",'Other History'!I:I,Instructions!A80)</f>
        <v>0</v>
      </c>
    </row>
    <row r="9" customFormat="false" ht="15" hidden="false" customHeight="true" outlineLevel="0" collapsed="false">
      <c r="A9" s="201" t="s">
        <v>45</v>
      </c>
      <c r="B9" s="201"/>
      <c r="C9" s="201"/>
      <c r="D9" s="202" t="n">
        <f aca="false">SUM(D5:D8)</f>
        <v>0</v>
      </c>
      <c r="E9" s="202" t="n">
        <f aca="false">SUM(E4:E8)</f>
        <v>0</v>
      </c>
      <c r="F9" s="202" t="n">
        <f aca="false">SUM(F4:F8)</f>
        <v>0</v>
      </c>
      <c r="G9" s="202" t="n">
        <f aca="false">SUM(G4:G8)</f>
        <v>0</v>
      </c>
      <c r="H9" s="189"/>
      <c r="I9" s="199" t="s">
        <v>46</v>
      </c>
      <c r="J9" s="197" t="s">
        <v>47</v>
      </c>
      <c r="K9" s="88" t="n">
        <f aca="false">COUNTIFS('Other History'!H:H,"Champs",'Other History'!I:I,Instructions!A81)+COUNTIFS('Other History'!H:H,"Playoff",'Other History'!I:I,Instructions!A81)</f>
        <v>0</v>
      </c>
      <c r="L9" s="198" t="n">
        <f aca="false">COUNTIFS('Other History'!H:H,"Sanc",'Other History'!I:I,Instructions!A81)</f>
        <v>0</v>
      </c>
      <c r="M9" s="88" t="n">
        <f aca="false">COUNTIFS('Other History'!H:H,"Reg",'Other History'!I:I,Instructions!A81)</f>
        <v>0</v>
      </c>
      <c r="N9" s="88" t="n">
        <f aca="false">COUNTIFS('Other History'!H:H,"Other",'Other History'!I:I,Instructions!A81)</f>
        <v>0</v>
      </c>
    </row>
    <row r="10" customFormat="false" ht="15" hidden="false" customHeight="true" outlineLevel="0" collapsed="false">
      <c r="A10" s="203"/>
      <c r="B10" s="203"/>
      <c r="C10" s="203"/>
      <c r="D10" s="203"/>
      <c r="E10" s="203"/>
      <c r="F10" s="203"/>
      <c r="G10" s="203"/>
      <c r="H10" s="189"/>
      <c r="I10" s="199" t="s">
        <v>48</v>
      </c>
      <c r="J10" s="197" t="s">
        <v>49</v>
      </c>
      <c r="K10" s="88" t="n">
        <f aca="false">COUNTIFS('Other History'!H:H,"Champs",'Other History'!I:I,Instructions!A82)+COUNTIFS('Other History'!H:H,"Playoff",'Other History'!I:I,Instructions!A82)</f>
        <v>0</v>
      </c>
      <c r="L10" s="198" t="n">
        <f aca="false">COUNTIFS('Other History'!H:H,"Sanc",'Other History'!I:I,Instructions!A82)</f>
        <v>0</v>
      </c>
      <c r="M10" s="88" t="n">
        <f aca="false">COUNTIFS('Other History'!H:H,"Reg",'Other History'!I:I,Instructions!A82)</f>
        <v>0</v>
      </c>
      <c r="N10" s="88" t="n">
        <f aca="false">COUNTIFS('Other History'!H:H,"Other",'Other History'!I:I,Instructions!A82)</f>
        <v>0</v>
      </c>
    </row>
    <row r="11" customFormat="false" ht="15" hidden="false" customHeight="true" outlineLevel="0" collapsed="false">
      <c r="A11" s="186" t="s">
        <v>50</v>
      </c>
      <c r="B11" s="186"/>
      <c r="C11" s="197" t="s">
        <v>51</v>
      </c>
      <c r="D11" s="88" t="n">
        <f aca="false">COUNTIFS('Other History'!H:H,"Champs",'Other History'!I:I,Instructions!A68)+COUNTIFS('Other History'!H:H,"Playoff",'Other History'!I:I,Instructions!A68)</f>
        <v>0</v>
      </c>
      <c r="E11" s="88" t="n">
        <f aca="false">COUNTIFS('Other History'!H:H,"Sanc",'Other History'!I:I,Instructions!A68)</f>
        <v>0</v>
      </c>
      <c r="F11" s="88" t="n">
        <f aca="false">COUNTIFS('Other History'!H:H,"Reg",'Other History'!I:I,Instructions!A68)</f>
        <v>0</v>
      </c>
      <c r="G11" s="88" t="n">
        <f aca="false">COUNTIFS('Other History'!H:H,"Other",'Other History'!I:I,Instructions!A68)</f>
        <v>0</v>
      </c>
      <c r="H11" s="189"/>
      <c r="I11" s="199" t="s">
        <v>52</v>
      </c>
      <c r="J11" s="197" t="s">
        <v>53</v>
      </c>
      <c r="K11" s="88" t="n">
        <f aca="false">COUNTIFS('Other History'!H:H,"Champs",'Other History'!I:I,Instructions!A83)+COUNTIFS('Other History'!H:H,"Playoff",'Other History'!I:I,Instructions!A83)</f>
        <v>0</v>
      </c>
      <c r="L11" s="198" t="n">
        <f aca="false">COUNTIFS('Other History'!H:H,"Sanc",'Other History'!I:I,Instructions!A83)</f>
        <v>0</v>
      </c>
      <c r="M11" s="88" t="n">
        <f aca="false">COUNTIFS('Other History'!H:H,"Reg",'Other History'!I:I,Instructions!A83)</f>
        <v>0</v>
      </c>
      <c r="N11" s="88" t="n">
        <f aca="false">COUNTIFS('Other History'!H:H,"Other",'Other History'!I:I,Instructions!A83)</f>
        <v>0</v>
      </c>
    </row>
    <row r="12" customFormat="false" ht="15" hidden="false" customHeight="true" outlineLevel="0" collapsed="false">
      <c r="A12" s="186" t="s">
        <v>54</v>
      </c>
      <c r="B12" s="186"/>
      <c r="C12" s="197" t="s">
        <v>55</v>
      </c>
      <c r="D12" s="88" t="n">
        <f aca="false">COUNTIFS('Other History'!H:H,"Champs",'Other History'!I:I,Instructions!A69)+COUNTIFS('Other History'!H:H,"Playoff",'Other History'!I:I,Instructions!A69)+COUNTIFS('Other History'!H:H,"Champs",'Other History'!I:I,Instructions!A70)+COUNTIFS('Other History'!H:H,"Playoff",'Other History'!I:I,Instructions!A70)</f>
        <v>0</v>
      </c>
      <c r="E12" s="88" t="n">
        <f aca="false">COUNTIFS('Other History'!H:H,"Sanc",'Other History'!I:I,Instructions!A69)</f>
        <v>0</v>
      </c>
      <c r="F12" s="88" t="n">
        <f aca="false">COUNTIFS('Other History'!H:H,"Reg",'Other History'!I:I,Instructions!A69)</f>
        <v>0</v>
      </c>
      <c r="G12" s="88" t="n">
        <f aca="false">COUNTIFS('Other History'!H:H,"Other",'Other History'!I:I,Instructions!A69)</f>
        <v>0</v>
      </c>
      <c r="H12" s="189"/>
      <c r="I12" s="199" t="s">
        <v>56</v>
      </c>
      <c r="J12" s="197" t="s">
        <v>57</v>
      </c>
      <c r="K12" s="88" t="n">
        <f aca="false">COUNTIFS('Other History'!H:H,"Champs",'Other History'!I:I,Instructions!A84)+COUNTIFS('Other History'!H:H,"Playoff",'Other History'!I:I,Instructions!A84)</f>
        <v>0</v>
      </c>
      <c r="L12" s="198" t="n">
        <f aca="false">COUNTIFS('Other History'!H:H,"Sanc",'Other History'!I:I,Instructions!A84)</f>
        <v>0</v>
      </c>
      <c r="M12" s="88" t="n">
        <f aca="false">COUNTIFS('Other History'!H:H,"Reg",'Other History'!I:I,Instructions!A84)</f>
        <v>0</v>
      </c>
      <c r="N12" s="88" t="n">
        <f aca="false">COUNTIFS('Other History'!H:H,"Other",'Other History'!I:I,Instructions!A84)</f>
        <v>0</v>
      </c>
    </row>
    <row r="13" customFormat="false" ht="15" hidden="false" customHeight="true" outlineLevel="0" collapsed="false">
      <c r="A13" s="204" t="s">
        <v>58</v>
      </c>
      <c r="B13" s="204"/>
      <c r="C13" s="205" t="s">
        <v>59</v>
      </c>
      <c r="D13" s="88" t="n">
        <f aca="false">COUNTIFS('Other History'!H:H,"Champs",'Other History'!I:I,Instructions!A67)+COUNTIFS('Other History'!H:H,"Playoff",'Other History'!I:I,Instructions!A67)</f>
        <v>0</v>
      </c>
      <c r="E13" s="88" t="n">
        <f aca="false">COUNTIFS('Other History'!H:H,"Sanc",'Other History'!I:I,Instructions!A67)</f>
        <v>0</v>
      </c>
      <c r="F13" s="88" t="n">
        <f aca="false">COUNTIFS('Other History'!H:H,"Reg",'Other History'!I:I,Instructions!A67)</f>
        <v>0</v>
      </c>
      <c r="G13" s="88" t="n">
        <f aca="false">COUNTIFS('Other History'!H:H,"Other",'Other History'!I:I,Instructions!A67)</f>
        <v>0</v>
      </c>
      <c r="H13" s="189"/>
      <c r="I13" s="199" t="s">
        <v>60</v>
      </c>
      <c r="J13" s="197" t="s">
        <v>61</v>
      </c>
      <c r="K13" s="88" t="n">
        <f aca="false">COUNTIFS('Other History'!H:H,"Champs",'Other History'!I:I,Instructions!A85)+COUNTIFS('Other History'!H:H,"Playoff",'Other History'!I:I,Instructions!A85)</f>
        <v>0</v>
      </c>
      <c r="L13" s="198" t="n">
        <f aca="false">COUNTIFS('Other History'!H:H,"Sanc",'Other History'!I:I,Instructions!A85)</f>
        <v>0</v>
      </c>
      <c r="M13" s="88" t="n">
        <f aca="false">COUNTIFS('Other History'!H:H,"Reg",'Other History'!I:I,Instructions!A85)</f>
        <v>0</v>
      </c>
      <c r="N13" s="88" t="n">
        <f aca="false">COUNTIFS('Other History'!H:H,"Other",'Other History'!I:I,Instructions!A85)</f>
        <v>0</v>
      </c>
    </row>
    <row r="14" customFormat="false" ht="15" hidden="false" customHeight="true" outlineLevel="0" collapsed="false">
      <c r="A14" s="206" t="s">
        <v>62</v>
      </c>
      <c r="B14" s="206"/>
      <c r="C14" s="197" t="s">
        <v>63</v>
      </c>
      <c r="D14" s="88" t="n">
        <f aca="false">COUNTIFS('Other History'!H:H,"Champs",'Other History'!I:I,Instructions!A71)+COUNTIFS('Other History'!H:H,"Playoff",'Other History'!I:I,Instructions!A71)</f>
        <v>0</v>
      </c>
      <c r="E14" s="88" t="n">
        <f aca="false">COUNTIFS('Other History'!H:H,"Sanc",'Other History'!I:I,Instructions!A71)</f>
        <v>0</v>
      </c>
      <c r="F14" s="88" t="n">
        <f aca="false">COUNTIFS('Other History'!H:H,"Reg",'Other History'!I:I,Instructions!A71)</f>
        <v>0</v>
      </c>
      <c r="G14" s="88" t="n">
        <f aca="false">COUNTIFS('Other History'!H:H,"Other",'Other History'!I:I,Instructions!A71)</f>
        <v>0</v>
      </c>
      <c r="H14" s="189"/>
      <c r="I14" s="199" t="s">
        <v>64</v>
      </c>
      <c r="J14" s="197" t="s">
        <v>65</v>
      </c>
      <c r="K14" s="88" t="n">
        <f aca="false">COUNTIFS('Other History'!H:H,"Champs",'Other History'!I:I,Instructions!A86)+COUNTIFS('Other History'!H:H,"Playoff",'Other History'!I:I,Instructions!A86)</f>
        <v>0</v>
      </c>
      <c r="L14" s="198" t="n">
        <f aca="false">COUNTIFS('Other History'!H:H,"Sanc",'Other History'!I:I,Instructions!A86)</f>
        <v>0</v>
      </c>
      <c r="M14" s="88" t="n">
        <f aca="false">COUNTIFS('Other History'!H:H,"Reg",'Other History'!I:I,Instructions!A86)</f>
        <v>0</v>
      </c>
      <c r="N14" s="88" t="n">
        <f aca="false">COUNTIFS('Other History'!H:H,"Other",'Other History'!I:I,Instructions!A86)</f>
        <v>0</v>
      </c>
    </row>
    <row r="15" customFormat="false" ht="15" hidden="false" customHeight="true" outlineLevel="0" collapsed="false">
      <c r="A15" s="206" t="s">
        <v>66</v>
      </c>
      <c r="B15" s="206"/>
      <c r="C15" s="197" t="s">
        <v>67</v>
      </c>
      <c r="D15" s="88" t="n">
        <f aca="false">COUNTIFS('Other History'!H:H,"Champs",'Other History'!I:I,Instructions!A72)+COUNTIFS('Other History'!H:H,"Playoff",'Other History'!I:I,Instructions!A72)+COUNTIFS('Other History'!H:H,"Champs",'Other History'!I:I,Instructions!A73)+COUNTIFS('Other History'!H:H,"Playoff",'Other History'!I:I,Instructions!A73)</f>
        <v>0</v>
      </c>
      <c r="E15" s="88" t="n">
        <f aca="false">COUNTIFS('Other History'!H:H,"Sanc",'Other History'!I:I,Instructions!A72)</f>
        <v>0</v>
      </c>
      <c r="F15" s="88" t="n">
        <f aca="false">COUNTIFS('Other History'!H:H,"Reg",'Other History'!I:I,Instructions!A72)</f>
        <v>0</v>
      </c>
      <c r="G15" s="88" t="n">
        <f aca="false">COUNTIFS('Other History'!H:H,"Other",'Other History'!I:I,Instructions!A72)</f>
        <v>0</v>
      </c>
      <c r="H15" s="189"/>
      <c r="I15" s="199" t="s">
        <v>68</v>
      </c>
      <c r="J15" s="197" t="s">
        <v>69</v>
      </c>
      <c r="K15" s="88" t="n">
        <f aca="false">COUNTIFS('Other History'!H:H,"Champs",'Other History'!I:I,Instructions!A88)+COUNTIFS('Other History'!H:H,"Playoff",'Other History'!I:I,Instructions!A88)</f>
        <v>0</v>
      </c>
      <c r="L15" s="198" t="n">
        <f aca="false">COUNTIFS('Other History'!H:H,"Sanc",'Other History'!I:I,Instructions!A88)</f>
        <v>0</v>
      </c>
      <c r="M15" s="88" t="n">
        <f aca="false">COUNTIFS('Other History'!H:H,"Reg",'Other History'!I:I,Instructions!A88)</f>
        <v>0</v>
      </c>
      <c r="N15" s="88" t="n">
        <f aca="false">COUNTIFS('Other History'!H:H,"Other",'Other History'!I:I,Instructions!A88)</f>
        <v>0</v>
      </c>
    </row>
    <row r="16" customFormat="false" ht="15" hidden="false" customHeight="true" outlineLevel="0" collapsed="false">
      <c r="A16" s="207"/>
      <c r="B16" s="203"/>
      <c r="C16" s="203"/>
      <c r="D16" s="203"/>
      <c r="E16" s="203"/>
      <c r="F16" s="203"/>
      <c r="G16" s="203"/>
      <c r="H16" s="189"/>
      <c r="I16" s="208" t="s">
        <v>70</v>
      </c>
      <c r="J16" s="208"/>
      <c r="K16" s="202" t="n">
        <f aca="false">SUM(K5:K15)</f>
        <v>0</v>
      </c>
      <c r="L16" s="202" t="n">
        <f aca="false">SUM(L4:L15)</f>
        <v>0</v>
      </c>
      <c r="M16" s="202" t="n">
        <f aca="false">SUM(M4:M15)</f>
        <v>0</v>
      </c>
      <c r="N16" s="202" t="n">
        <f aca="false">SUM(N4:N15)</f>
        <v>0</v>
      </c>
    </row>
    <row r="17" customFormat="false" ht="15.75" hidden="false" customHeight="false" outlineLevel="0" collapsed="false">
      <c r="A17" s="206" t="s">
        <v>469</v>
      </c>
      <c r="B17" s="206"/>
      <c r="C17" s="206"/>
      <c r="D17" s="206"/>
      <c r="E17" s="206"/>
      <c r="F17" s="206"/>
      <c r="G17" s="206"/>
      <c r="H17" s="189"/>
      <c r="I17" s="209" t="s">
        <v>72</v>
      </c>
      <c r="J17" s="209"/>
      <c r="K17" s="209"/>
      <c r="L17" s="209"/>
      <c r="M17" s="210" t="n">
        <f aca="false">COUNTIFS('Other History'!H:H,"JRDA",'Other History'!L:L,"Y")</f>
        <v>0</v>
      </c>
      <c r="N17" s="210"/>
    </row>
    <row r="18" customFormat="false" ht="1.5" hidden="false" customHeight="true" outlineLevel="0" collapsed="false">
      <c r="A18" s="211" t="s">
        <v>73</v>
      </c>
      <c r="B18" s="188" t="s">
        <v>74</v>
      </c>
      <c r="C18" s="188" t="s">
        <v>75</v>
      </c>
      <c r="D18" s="212" t="s">
        <v>73</v>
      </c>
      <c r="E18" s="188" t="s">
        <v>74</v>
      </c>
      <c r="F18" s="188"/>
      <c r="G18" s="188" t="s">
        <v>75</v>
      </c>
      <c r="H18" s="28"/>
      <c r="I18" s="203"/>
      <c r="J18" s="203"/>
      <c r="K18" s="203"/>
      <c r="L18" s="203"/>
      <c r="M18" s="203"/>
      <c r="N18" s="203"/>
    </row>
    <row r="19" customFormat="false" ht="15.75" hidden="false" customHeight="false" outlineLevel="0" collapsed="false">
      <c r="A19" s="213"/>
      <c r="B19" s="214"/>
      <c r="C19" s="214"/>
      <c r="D19" s="214"/>
      <c r="E19" s="109"/>
      <c r="F19" s="109"/>
      <c r="G19" s="160"/>
      <c r="H19" s="189"/>
      <c r="I19" s="215" t="s">
        <v>470</v>
      </c>
      <c r="J19" s="215"/>
      <c r="K19" s="192" t="s">
        <v>77</v>
      </c>
      <c r="L19" s="192"/>
      <c r="M19" s="192" t="s">
        <v>78</v>
      </c>
      <c r="N19" s="192"/>
    </row>
    <row r="20" customFormat="false" ht="16.5" hidden="false" customHeight="true" outlineLevel="0" collapsed="false">
      <c r="A20" s="213"/>
      <c r="B20" s="214"/>
      <c r="C20" s="214"/>
      <c r="D20" s="214"/>
      <c r="E20" s="109"/>
      <c r="F20" s="109"/>
      <c r="G20" s="160"/>
      <c r="H20" s="189"/>
      <c r="I20" s="215"/>
      <c r="J20" s="215"/>
      <c r="K20" s="192" t="s">
        <v>79</v>
      </c>
      <c r="L20" s="192" t="s">
        <v>80</v>
      </c>
      <c r="M20" s="192" t="s">
        <v>79</v>
      </c>
      <c r="N20" s="192" t="s">
        <v>80</v>
      </c>
    </row>
    <row r="21" customFormat="false" ht="15.75" hidden="false" customHeight="false" outlineLevel="0" collapsed="false">
      <c r="A21" s="213"/>
      <c r="B21" s="214"/>
      <c r="C21" s="214"/>
      <c r="D21" s="214"/>
      <c r="E21" s="112"/>
      <c r="F21" s="112"/>
      <c r="G21" s="160"/>
      <c r="H21" s="189"/>
      <c r="I21" s="215"/>
      <c r="J21" s="215"/>
      <c r="K21" s="88" t="n">
        <f aca="false">COUNTIFS('Other History'!A:A,("&gt;="&amp;Instructions!B103),'Other History'!I:I,Instructions!A68)+COUNTIFS('Other History'!A:A,("&gt;="&amp;Instructions!B103),'Other History'!I:I,Instructions!A69)+COUNTIFS('Other History'!A:A,("&gt;="&amp;Instructions!B103),'Other History'!I:I,Instructions!A70)+COUNTIFS('Other History'!A:A,("&gt;="&amp;Instructions!B103),'Other History'!I:I,Instructions!A74)+COUNTIFS('Other History'!A:A,("&gt;="&amp;Instructions!B103),'Other History'!I:I,Instructions!A75)+COUNTIFS('Other History'!A:A,("&gt;="&amp;Instructions!B103),'Other History'!I:I,Instructions!A76)+COUNTIFS('Other History'!A:A,("&gt;="&amp;Instructions!B103),'Other History'!I:I,Instructions!A87)</f>
        <v>0</v>
      </c>
      <c r="L21" s="88" t="n">
        <f aca="false">COUNTIFS('Other History'!A:A,("&gt;="&amp;Instructions!B103),'Other History'!I:I,Instructions!A71)+COUNTIFS('Other History'!A:A,("&gt;="&amp;Instructions!B103),'Other History'!I:I,Instructions!A72)+COUNTIFS('Other History'!A:A,("&gt;="&amp;Instructions!B103),'Other History'!I:I,Instructions!A73)+COUNTIFS('Other History'!A:A,("&gt;="&amp;Instructions!B103),'Other History'!I:I,Instructions!A77)+COUNTIFS('Other History'!A:A,("&gt;="&amp;Instructions!B103),'Other History'!I:I,Instructions!A78)+COUNTIFS('Other History'!A:A,("&gt;="&amp;Instructions!B103),'Other History'!I:I,Instructions!A79)+COUNTIFS('Other History'!A:A,("&gt;="&amp;Instructions!B103),'Other History'!I:I,Instructions!A80)+COUNTIFS('Other History'!A:A,("&gt;="&amp;Instructions!B103),'Other History'!I:I,Instructions!A81)+COUNTIFS('Other History'!A:A,("&gt;="&amp;Instructions!B103),'Other History'!I:I,Instructions!A82)+COUNTIFS('Other History'!A:A,("&gt;="&amp;Instructions!B103),'Other History'!I:I,Instructions!A83)+COUNTIFS('Other History'!A:A,("&gt;="&amp;Instructions!B103),'Other History'!I:I,Instructions!A84)+COUNTIFS('Other History'!A:A,("&gt;="&amp;Instructions!B103),'Other History'!I:I,Instructions!A85)+COUNTIFS('Other History'!A:A,("&gt;="&amp;Instructions!B103),'Other History'!I:I,Instructions!A86)+COUNTIFS('Other History'!A:A,("&gt;="&amp;Instructions!B103),'Other History'!I:I,Instructions!A88)</f>
        <v>0</v>
      </c>
      <c r="M21" s="198" t="n">
        <f aca="false">SUM(D9+E9+F9+G9+D11+E11+F11+G11+D12+E12+F12+G12)</f>
        <v>0</v>
      </c>
      <c r="N21" s="198" t="n">
        <f aca="false">SUM(K16+L16+M16+N16+D14+E14+F14+G14+D15+E15+F15+G15)</f>
        <v>0</v>
      </c>
    </row>
    <row r="22" customFormat="false" ht="16.5" hidden="false" customHeight="true" outlineLevel="0" collapsed="false">
      <c r="A22" s="147"/>
      <c r="B22" s="147"/>
      <c r="C22" s="147"/>
      <c r="D22" s="147"/>
      <c r="E22" s="147"/>
      <c r="F22" s="147"/>
      <c r="G22" s="147"/>
      <c r="H22" s="147"/>
      <c r="I22" s="147"/>
      <c r="J22" s="147"/>
      <c r="K22" s="147"/>
      <c r="L22" s="147"/>
      <c r="M22" s="147"/>
      <c r="N22" s="147"/>
    </row>
  </sheetData>
  <mergeCells count="28">
    <mergeCell ref="A1:N1"/>
    <mergeCell ref="A2:B3"/>
    <mergeCell ref="C2:C3"/>
    <mergeCell ref="D2:G2"/>
    <mergeCell ref="I2:I3"/>
    <mergeCell ref="J2:J3"/>
    <mergeCell ref="K2:N2"/>
    <mergeCell ref="A4:B4"/>
    <mergeCell ref="A5:B5"/>
    <mergeCell ref="A7:B7"/>
    <mergeCell ref="A8:B8"/>
    <mergeCell ref="A9:C9"/>
    <mergeCell ref="A11:B11"/>
    <mergeCell ref="A12:B12"/>
    <mergeCell ref="A13:B13"/>
    <mergeCell ref="A14:B14"/>
    <mergeCell ref="A15:B15"/>
    <mergeCell ref="I16:J16"/>
    <mergeCell ref="A17:G17"/>
    <mergeCell ref="I17:L17"/>
    <mergeCell ref="M17:N17"/>
    <mergeCell ref="E18:F18"/>
    <mergeCell ref="E19:F19"/>
    <mergeCell ref="I19:J21"/>
    <mergeCell ref="K19:L19"/>
    <mergeCell ref="M19:N19"/>
    <mergeCell ref="E20:F20"/>
    <mergeCell ref="E21:F2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75" customHeight="true" zeroHeight="false" outlineLevelRow="0" outlineLevelCol="0"/>
  <cols>
    <col collapsed="false" customWidth="true" hidden="false" outlineLevel="0" max="2" min="2" style="1" width="21.27"/>
    <col collapsed="false" customWidth="true" hidden="false" outlineLevel="0" max="3" min="3" style="1" width="23.53"/>
    <col collapsed="false" customWidth="true" hidden="false" outlineLevel="0" max="4" min="4" style="1" width="26.28"/>
    <col collapsed="false" customWidth="true" hidden="false" outlineLevel="0" max="5" min="5" style="1" width="27.78"/>
    <col collapsed="false" customWidth="true" hidden="false" outlineLevel="0" max="6" min="6" style="1" width="24.15"/>
    <col collapsed="false" customWidth="true" hidden="false" outlineLevel="0" max="7" min="7" style="1" width="7.76"/>
    <col collapsed="false" customWidth="true" hidden="false" outlineLevel="0" max="8" min="8" style="1" width="9.14"/>
    <col collapsed="false" customWidth="true" hidden="false" outlineLevel="0" max="9" min="9" style="1" width="7.88"/>
    <col collapsed="false" customWidth="true" hidden="false" outlineLevel="0" max="10" min="10" style="1" width="7.5"/>
    <col collapsed="false" customWidth="true" hidden="false" outlineLevel="0" max="11" min="11" style="1" width="7.15"/>
    <col collapsed="false" customWidth="true" hidden="false" outlineLevel="0" max="12" min="12" style="1" width="26.66"/>
    <col collapsed="false" customWidth="true" hidden="false" outlineLevel="0" max="13" min="13" style="1" width="22.42"/>
    <col collapsed="false" customWidth="true" hidden="false" outlineLevel="0" max="14" min="14" style="1" width="26.91"/>
    <col collapsed="false" customWidth="true" hidden="false" outlineLevel="0" max="1024" min="15" style="1" width="12.64"/>
  </cols>
  <sheetData>
    <row r="1" customFormat="false" ht="45" hidden="false" customHeight="true" outlineLevel="0" collapsed="false">
      <c r="A1" s="216" t="s">
        <v>471</v>
      </c>
      <c r="B1" s="216"/>
      <c r="C1" s="216"/>
      <c r="D1" s="216"/>
      <c r="E1" s="216"/>
      <c r="F1" s="216"/>
      <c r="G1" s="217"/>
      <c r="H1" s="218"/>
      <c r="I1" s="218"/>
      <c r="J1" s="217"/>
      <c r="K1" s="218"/>
      <c r="L1" s="218"/>
      <c r="M1" s="218"/>
      <c r="N1" s="218"/>
    </row>
    <row r="2" customFormat="false" ht="15.75" hidden="false" customHeight="false" outlineLevel="0" collapsed="false">
      <c r="A2" s="219" t="s">
        <v>85</v>
      </c>
      <c r="B2" s="219"/>
      <c r="C2" s="219"/>
      <c r="D2" s="219" t="s">
        <v>86</v>
      </c>
      <c r="E2" s="219"/>
      <c r="F2" s="219"/>
      <c r="G2" s="220"/>
      <c r="H2" s="221"/>
      <c r="I2" s="222" t="s">
        <v>87</v>
      </c>
      <c r="J2" s="222"/>
      <c r="K2" s="223"/>
      <c r="L2" s="224" t="s">
        <v>88</v>
      </c>
      <c r="M2" s="224" t="s">
        <v>89</v>
      </c>
      <c r="N2" s="224" t="s">
        <v>90</v>
      </c>
    </row>
    <row r="3" customFormat="false" ht="27.75" hidden="false" customHeight="true" outlineLevel="0" collapsed="false">
      <c r="A3" s="122" t="s">
        <v>91</v>
      </c>
      <c r="B3" s="123" t="s">
        <v>92</v>
      </c>
      <c r="C3" s="123" t="s">
        <v>74</v>
      </c>
      <c r="D3" s="124" t="s">
        <v>93</v>
      </c>
      <c r="E3" s="225" t="s">
        <v>472</v>
      </c>
      <c r="F3" s="124" t="s">
        <v>473</v>
      </c>
      <c r="G3" s="226" t="s">
        <v>474</v>
      </c>
      <c r="H3" s="123" t="s">
        <v>97</v>
      </c>
      <c r="I3" s="123" t="s">
        <v>98</v>
      </c>
      <c r="J3" s="227" t="s">
        <v>475</v>
      </c>
      <c r="K3" s="125" t="s">
        <v>100</v>
      </c>
      <c r="L3" s="224"/>
      <c r="M3" s="224"/>
      <c r="N3" s="224"/>
    </row>
    <row r="4" customFormat="false" ht="15.75" hidden="false" customHeight="false" outlineLevel="0" collapsed="false">
      <c r="A4" s="228"/>
      <c r="B4" s="229"/>
      <c r="C4" s="229"/>
      <c r="D4" s="229"/>
      <c r="E4" s="229"/>
      <c r="F4" s="229"/>
      <c r="G4" s="86"/>
      <c r="H4" s="86"/>
      <c r="I4" s="86"/>
      <c r="J4" s="86"/>
      <c r="K4" s="86"/>
      <c r="L4" s="229"/>
      <c r="M4" s="229"/>
      <c r="N4" s="229"/>
    </row>
    <row r="5" customFormat="false" ht="14.25" hidden="false" customHeight="true" outlineLevel="0" collapsed="false">
      <c r="A5" s="230"/>
      <c r="B5" s="229"/>
      <c r="C5" s="231"/>
      <c r="D5" s="231"/>
      <c r="E5" s="231"/>
      <c r="F5" s="231"/>
      <c r="G5" s="86"/>
      <c r="H5" s="86"/>
      <c r="I5" s="86"/>
      <c r="J5" s="86"/>
      <c r="K5" s="86"/>
      <c r="L5" s="229"/>
      <c r="M5" s="229"/>
      <c r="N5" s="229"/>
    </row>
    <row r="6" customFormat="false" ht="14.25" hidden="false" customHeight="true" outlineLevel="0" collapsed="false">
      <c r="A6" s="230"/>
      <c r="B6" s="229"/>
      <c r="C6" s="231"/>
      <c r="D6" s="231"/>
      <c r="E6" s="231"/>
      <c r="F6" s="231"/>
      <c r="G6" s="86"/>
      <c r="H6" s="86"/>
      <c r="I6" s="86"/>
      <c r="J6" s="86"/>
      <c r="K6" s="86"/>
      <c r="L6" s="229"/>
      <c r="M6" s="229"/>
      <c r="N6" s="229"/>
    </row>
    <row r="7" customFormat="false" ht="14.25" hidden="false" customHeight="true" outlineLevel="0" collapsed="false">
      <c r="A7" s="230"/>
      <c r="B7" s="229"/>
      <c r="C7" s="231"/>
      <c r="D7" s="231"/>
      <c r="E7" s="231"/>
      <c r="F7" s="231"/>
      <c r="G7" s="86"/>
      <c r="H7" s="86"/>
      <c r="I7" s="86"/>
      <c r="J7" s="86"/>
      <c r="K7" s="86"/>
      <c r="L7" s="229"/>
      <c r="M7" s="229"/>
      <c r="N7" s="229"/>
    </row>
    <row r="8" customFormat="false" ht="14.25" hidden="false" customHeight="true" outlineLevel="0" collapsed="false">
      <c r="A8" s="230"/>
      <c r="B8" s="229"/>
      <c r="C8" s="231"/>
      <c r="D8" s="231"/>
      <c r="E8" s="231"/>
      <c r="F8" s="231"/>
      <c r="G8" s="86"/>
      <c r="H8" s="86"/>
      <c r="I8" s="86"/>
      <c r="J8" s="86"/>
      <c r="K8" s="86"/>
      <c r="L8" s="229"/>
      <c r="M8" s="229"/>
      <c r="N8" s="229"/>
    </row>
    <row r="9" customFormat="false" ht="14.25" hidden="false" customHeight="true" outlineLevel="0" collapsed="false">
      <c r="A9" s="230"/>
      <c r="B9" s="229"/>
      <c r="C9" s="231"/>
      <c r="D9" s="231"/>
      <c r="E9" s="231"/>
      <c r="F9" s="231"/>
      <c r="G9" s="86"/>
      <c r="H9" s="86"/>
      <c r="I9" s="86"/>
      <c r="J9" s="86"/>
      <c r="K9" s="86"/>
      <c r="L9" s="229"/>
      <c r="M9" s="229"/>
      <c r="N9" s="229"/>
    </row>
    <row r="10" customFormat="false" ht="14.25" hidden="false" customHeight="true" outlineLevel="0" collapsed="false">
      <c r="A10" s="230"/>
      <c r="B10" s="229"/>
      <c r="C10" s="231"/>
      <c r="D10" s="231"/>
      <c r="E10" s="231"/>
      <c r="F10" s="231"/>
      <c r="G10" s="86"/>
      <c r="H10" s="86"/>
      <c r="I10" s="86"/>
      <c r="J10" s="86"/>
      <c r="K10" s="86"/>
      <c r="L10" s="229"/>
      <c r="M10" s="229"/>
      <c r="N10" s="229"/>
    </row>
    <row r="11" customFormat="false" ht="14.25" hidden="false" customHeight="true" outlineLevel="0" collapsed="false">
      <c r="A11" s="230"/>
      <c r="B11" s="229"/>
      <c r="C11" s="231"/>
      <c r="D11" s="231"/>
      <c r="E11" s="231"/>
      <c r="F11" s="231"/>
      <c r="G11" s="86"/>
      <c r="H11" s="86"/>
      <c r="I11" s="86"/>
      <c r="J11" s="86"/>
      <c r="K11" s="86"/>
      <c r="L11" s="229"/>
      <c r="M11" s="229"/>
      <c r="N11" s="229"/>
    </row>
    <row r="12" customFormat="false" ht="14.25" hidden="false" customHeight="true" outlineLevel="0" collapsed="false">
      <c r="A12" s="230"/>
      <c r="B12" s="229"/>
      <c r="C12" s="231"/>
      <c r="D12" s="231"/>
      <c r="E12" s="231"/>
      <c r="F12" s="231"/>
      <c r="G12" s="86"/>
      <c r="H12" s="86"/>
      <c r="I12" s="86"/>
      <c r="J12" s="86"/>
      <c r="K12" s="86"/>
      <c r="L12" s="229"/>
      <c r="M12" s="229"/>
      <c r="N12" s="229"/>
    </row>
    <row r="13" customFormat="false" ht="14.25" hidden="false" customHeight="true" outlineLevel="0" collapsed="false">
      <c r="A13" s="230"/>
      <c r="B13" s="229"/>
      <c r="C13" s="231"/>
      <c r="D13" s="231"/>
      <c r="E13" s="231"/>
      <c r="F13" s="231"/>
      <c r="G13" s="86"/>
      <c r="H13" s="86"/>
      <c r="I13" s="86"/>
      <c r="J13" s="86"/>
      <c r="K13" s="86"/>
      <c r="L13" s="229"/>
      <c r="M13" s="229"/>
      <c r="N13" s="229"/>
    </row>
    <row r="14" customFormat="false" ht="14.25" hidden="false" customHeight="true" outlineLevel="0" collapsed="false">
      <c r="A14" s="230"/>
      <c r="B14" s="229"/>
      <c r="C14" s="231"/>
      <c r="D14" s="231"/>
      <c r="E14" s="231"/>
      <c r="F14" s="231"/>
      <c r="G14" s="86"/>
      <c r="H14" s="86"/>
      <c r="I14" s="86"/>
      <c r="J14" s="86"/>
      <c r="K14" s="86"/>
      <c r="L14" s="229"/>
      <c r="M14" s="229"/>
      <c r="N14" s="229"/>
    </row>
    <row r="15" customFormat="false" ht="14.25" hidden="false" customHeight="true" outlineLevel="0" collapsed="false">
      <c r="A15" s="230"/>
      <c r="B15" s="229"/>
      <c r="C15" s="231"/>
      <c r="D15" s="231"/>
      <c r="E15" s="231"/>
      <c r="F15" s="231"/>
      <c r="G15" s="86"/>
      <c r="H15" s="86"/>
      <c r="I15" s="86"/>
      <c r="J15" s="86"/>
      <c r="K15" s="86"/>
      <c r="L15" s="229"/>
      <c r="M15" s="229"/>
      <c r="N15" s="229"/>
    </row>
    <row r="16" customFormat="false" ht="14.25" hidden="false" customHeight="true" outlineLevel="0" collapsed="false">
      <c r="A16" s="230"/>
      <c r="B16" s="229"/>
      <c r="C16" s="231"/>
      <c r="D16" s="231"/>
      <c r="E16" s="231"/>
      <c r="F16" s="231"/>
      <c r="G16" s="86"/>
      <c r="H16" s="86"/>
      <c r="I16" s="86"/>
      <c r="J16" s="86"/>
      <c r="K16" s="86"/>
      <c r="L16" s="229"/>
      <c r="M16" s="229"/>
      <c r="N16" s="229"/>
    </row>
    <row r="17" customFormat="false" ht="14.25" hidden="false" customHeight="true" outlineLevel="0" collapsed="false">
      <c r="A17" s="230"/>
      <c r="B17" s="229"/>
      <c r="C17" s="231"/>
      <c r="D17" s="231"/>
      <c r="E17" s="231"/>
      <c r="F17" s="231"/>
      <c r="G17" s="86"/>
      <c r="H17" s="86"/>
      <c r="I17" s="86"/>
      <c r="J17" s="86"/>
      <c r="K17" s="86"/>
      <c r="L17" s="229"/>
      <c r="M17" s="229"/>
      <c r="N17" s="229"/>
    </row>
    <row r="18" customFormat="false" ht="14.25" hidden="false" customHeight="true" outlineLevel="0" collapsed="false">
      <c r="A18" s="230"/>
      <c r="B18" s="229"/>
      <c r="C18" s="231"/>
      <c r="D18" s="231"/>
      <c r="E18" s="231"/>
      <c r="F18" s="231"/>
      <c r="G18" s="86"/>
      <c r="H18" s="86"/>
      <c r="I18" s="86"/>
      <c r="J18" s="86"/>
      <c r="K18" s="86"/>
      <c r="L18" s="229"/>
      <c r="M18" s="229"/>
      <c r="N18" s="229"/>
    </row>
    <row r="19" customFormat="false" ht="14.25" hidden="false" customHeight="true" outlineLevel="0" collapsed="false">
      <c r="A19" s="230"/>
      <c r="B19" s="229"/>
      <c r="C19" s="231"/>
      <c r="D19" s="231"/>
      <c r="E19" s="231"/>
      <c r="F19" s="231"/>
      <c r="G19" s="86"/>
      <c r="H19" s="86"/>
      <c r="I19" s="86"/>
      <c r="J19" s="86"/>
      <c r="K19" s="86"/>
      <c r="L19" s="229"/>
      <c r="M19" s="229"/>
      <c r="N19" s="229"/>
    </row>
    <row r="20" customFormat="false" ht="14.25" hidden="false" customHeight="true" outlineLevel="0" collapsed="false">
      <c r="A20" s="230"/>
      <c r="B20" s="229"/>
      <c r="C20" s="231"/>
      <c r="D20" s="231"/>
      <c r="E20" s="231"/>
      <c r="F20" s="231"/>
      <c r="G20" s="86"/>
      <c r="H20" s="86"/>
      <c r="I20" s="86"/>
      <c r="J20" s="86"/>
      <c r="K20" s="86"/>
      <c r="L20" s="229"/>
      <c r="M20" s="229"/>
      <c r="N20" s="229"/>
    </row>
    <row r="21" customFormat="false" ht="14.25" hidden="false" customHeight="true" outlineLevel="0" collapsed="false">
      <c r="A21" s="230"/>
      <c r="B21" s="229"/>
      <c r="C21" s="231"/>
      <c r="D21" s="231"/>
      <c r="E21" s="231"/>
      <c r="F21" s="231"/>
      <c r="G21" s="86"/>
      <c r="H21" s="86"/>
      <c r="I21" s="86"/>
      <c r="J21" s="86"/>
      <c r="K21" s="86"/>
      <c r="L21" s="229"/>
      <c r="M21" s="229"/>
      <c r="N21" s="229"/>
    </row>
    <row r="22" customFormat="false" ht="14.25" hidden="false" customHeight="true" outlineLevel="0" collapsed="false">
      <c r="A22" s="230"/>
      <c r="B22" s="229"/>
      <c r="C22" s="231"/>
      <c r="D22" s="231"/>
      <c r="E22" s="231"/>
      <c r="F22" s="231"/>
      <c r="G22" s="86"/>
      <c r="H22" s="86"/>
      <c r="I22" s="86"/>
      <c r="J22" s="86"/>
      <c r="K22" s="86"/>
      <c r="L22" s="229"/>
      <c r="M22" s="229"/>
      <c r="N22" s="229"/>
    </row>
    <row r="23" customFormat="false" ht="14.25" hidden="false" customHeight="true" outlineLevel="0" collapsed="false">
      <c r="A23" s="230"/>
      <c r="B23" s="229"/>
      <c r="C23" s="231"/>
      <c r="D23" s="231"/>
      <c r="E23" s="231"/>
      <c r="F23" s="231"/>
      <c r="G23" s="86"/>
      <c r="H23" s="86"/>
      <c r="I23" s="86"/>
      <c r="J23" s="86"/>
      <c r="K23" s="86"/>
      <c r="L23" s="229"/>
      <c r="M23" s="229"/>
      <c r="N23" s="229"/>
    </row>
    <row r="24" customFormat="false" ht="14.25" hidden="false" customHeight="true" outlineLevel="0" collapsed="false">
      <c r="A24" s="230"/>
      <c r="B24" s="229"/>
      <c r="C24" s="231"/>
      <c r="D24" s="231"/>
      <c r="E24" s="231"/>
      <c r="F24" s="231"/>
      <c r="G24" s="86"/>
      <c r="H24" s="86"/>
      <c r="I24" s="86"/>
      <c r="J24" s="86"/>
      <c r="K24" s="86"/>
      <c r="L24" s="229"/>
      <c r="M24" s="229"/>
      <c r="N24" s="229"/>
    </row>
    <row r="25" customFormat="false" ht="14.25" hidden="false" customHeight="true" outlineLevel="0" collapsed="false">
      <c r="A25" s="230"/>
      <c r="B25" s="229"/>
      <c r="C25" s="231"/>
      <c r="D25" s="231"/>
      <c r="E25" s="231"/>
      <c r="F25" s="231"/>
      <c r="G25" s="86"/>
      <c r="H25" s="86"/>
      <c r="I25" s="86"/>
      <c r="J25" s="86"/>
      <c r="K25" s="86"/>
      <c r="L25" s="229"/>
      <c r="M25" s="229"/>
      <c r="N25" s="229"/>
    </row>
  </sheetData>
  <autoFilter ref="G1:K4"/>
  <mergeCells count="7">
    <mergeCell ref="A1:F1"/>
    <mergeCell ref="L1:N1"/>
    <mergeCell ref="A2:C2"/>
    <mergeCell ref="D2:F2"/>
    <mergeCell ref="L2:L3"/>
    <mergeCell ref="M2:M3"/>
    <mergeCell ref="N2:N3"/>
  </mergeCells>
  <dataValidations count="4">
    <dataValidation allowBlank="true" errorStyle="stop" operator="equal" prompt="Game types outside the norm are not calculated on the Other Summary tab." showDropDown="false" showErrorMessage="false" showInputMessage="true" sqref="H4:H25" type="list">
      <formula1>Instructions!$A$60:$A$64</formula1>
      <formula2>0</formula2>
    </dataValidation>
    <dataValidation allowBlank="true" errorStyle="stop" operator="equal" prompt="Click and enter a value from range Instructions!A63:A83" showDropDown="false" showErrorMessage="false" showInputMessage="true" sqref="I4:I25" type="list">
      <formula1>Instructions!$A$67:$A$88</formula1>
      <formula2>0</formula2>
    </dataValidation>
    <dataValidation allowBlank="true" errorStyle="stop" operator="equal" prompt="You must use the positional abbreviations as listed in the Instructions." showDropDown="false" showErrorMessage="false" showInputMessage="true" sqref="J4:J25" type="list">
      <formula1>Instructions!$A$74:$A$86</formula1>
      <formula2>0</formula2>
    </dataValidation>
    <dataValidation allowBlank="true" errorStyle="stop" operator="equal" prompt="Click and entEnter Y if you used association-endorsed software. Otherwise leave this cell blank.er a value from range" showDropDown="false" showErrorMessage="false" showInputMessage="true" sqref="K4:K25" type="list">
      <formula1>Instructions!$K$45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537</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2026-06-28T14:57:16Z</dcterms:modified>
  <cp:revision>136</cp:revision>
  <dc:subject/>
  <dc:title/>
</cp:coreProperties>
</file>

<file path=docProps/custom.xml><?xml version="1.0" encoding="utf-8"?>
<Properties xmlns="http://schemas.openxmlformats.org/officeDocument/2006/custom-properties" xmlns:vt="http://schemas.openxmlformats.org/officeDocument/2006/docPropsVTypes"/>
</file>