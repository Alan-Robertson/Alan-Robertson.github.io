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ummary" sheetId="2" state="visible" r:id="rId4"/>
    <sheet name="Game History" sheetId="3" state="visible" r:id="rId5"/>
    <sheet name="Annuals" sheetId="4" state="visible" r:id="rId6"/>
    <sheet name="Other Summary" sheetId="5" state="visible" r:id="rId7"/>
    <sheet name="Other History" sheetId="6" state="visible" r:id="rId8"/>
  </sheets>
  <definedNames>
    <definedName function="false" hidden="true" localSheetId="2" name="_xlnm._FilterDatabase" vbProcedure="false">'Game History'!$G$1:$K$37</definedName>
    <definedName function="false" hidden="true" localSheetId="5" name="_xlnm._FilterDatabase" vbProcedure="false">'Other History'!$G$1:$K$4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======
ID#AAABZD9bbrU
     (2024-11-22 02:17:03)
Head Referees at Playoff games are Crew Head Referees. That information is tallied in the CHR row below.</t>
        </r>
      </text>
    </comment>
    <comment ref="D36" authorId="0">
      <text>
        <r>
          <rPr>
            <sz val="10"/>
            <rFont val="Arial"/>
            <family val="2"/>
          </rPr>
          <t xml:space="preserve">======
ID#AAABZD9eroo
     (2024-11-22 02:17:03)
Head Referees at Playoff games are Crew Head Referees. That information is tallied in the CHR row below.</t>
        </r>
      </text>
    </comment>
    <comment ref="K13" authorId="0">
      <text>
        <r>
          <rPr>
            <sz val="10"/>
            <rFont val="Arial"/>
            <family val="2"/>
          </rPr>
          <t xml:space="preserve">======
ID#AAABZD9bbqM
     (2024-11-22 02:17:03)
Head NSOs at Playoff games are Crew Head NSOs. That information is tallied in the CHNSO row below.</t>
        </r>
      </text>
    </comment>
    <comment ref="K36" authorId="0">
      <text>
        <r>
          <rPr>
            <sz val="10"/>
            <rFont val="Arial"/>
            <family val="2"/>
          </rPr>
          <t xml:space="preserve">======
ID#AAABZD9bbrY
     (2024-11-22 02:17:03)
Head NSOs at Playoff games are Crew Head NSOs. That information is tallied in the CHNSO row below.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======
ID#AAABZD9erpI
     (2024-11-22 02:17:03)
List the date as YYYY-MM-DD</t>
        </r>
      </text>
    </comment>
    <comment ref="B3" authorId="0">
      <text>
        <r>
          <rPr>
            <sz val="10"/>
            <rFont val="Arial"/>
            <family val="2"/>
          </rPr>
          <t xml:space="preserve">======
ID#AAABZD9bbq4
     (2024-11-22 02:17:03)
Leave this cell blank for all games officiated that are not part of a tournament.</t>
        </r>
      </text>
    </comment>
    <comment ref="C3" authorId="0">
      <text>
        <r>
          <rPr>
            <sz val="10"/>
            <rFont val="Arial"/>
            <family val="2"/>
          </rPr>
          <t xml:space="preserve">======
ID#AAABZD9eros
     (2024-11-22 02:17:03)
Venue, City, and State/Province. If outside of the USA/Canada, list city and country.</t>
        </r>
      </text>
    </comment>
    <comment ref="D3" authorId="0">
      <text>
        <r>
          <rPr>
            <sz val="10"/>
            <rFont val="Arial"/>
            <family val="2"/>
          </rPr>
          <t xml:space="preserve">======
ID#AAABZD9bbqQ
     (2024-11-22 02:17:03)
The league whose venue hosts the game played or the league determined as Host in the game contract.</t>
        </r>
      </text>
    </comment>
    <comment ref="E3" authorId="0">
      <text>
        <r>
          <rPr>
            <sz val="10"/>
            <rFont val="Arial"/>
            <family val="2"/>
          </rPr>
          <t xml:space="preserve">======
ID#AAABZD9bbqo
     (2024-11-22 02:17:03)
The host or the team decided as Home in the game contract. In all other cases, assign to the higher ranked team.</t>
        </r>
      </text>
    </comment>
    <comment ref="F3" authorId="0">
      <text>
        <r>
          <rPr>
            <sz val="10"/>
            <rFont val="Arial"/>
            <family val="2"/>
          </rPr>
          <t xml:space="preserve">======
ID#AAABZD9erog
     (2024-11-22 02:17:03)
The visiting team, the team decided as Visitor in the game contract, or the lower ranked of the two teams.</t>
        </r>
      </text>
    </comment>
    <comment ref="G3" authorId="0">
      <text>
        <r>
          <rPr>
            <sz val="10"/>
            <rFont val="Arial"/>
            <family val="2"/>
          </rPr>
          <t xml:space="preserve">======
ID#AAABZD9bbqg
     (2024-11-22 02:17:03)
If the game does not meet the guidelines of the respective association, list that game in Other History.</t>
        </r>
      </text>
    </comment>
    <comment ref="H3" authorId="0">
      <text>
        <r>
          <rPr>
            <sz val="10"/>
            <rFont val="Arial"/>
            <family val="2"/>
          </rPr>
          <t xml:space="preserve">======
ID#AAABZD9bbrE
     (2024-11-22 02:17:03)
Regulation games follow the full letter of the rules. Sanctioned games are Regulation games that count toward a team's ranking.</t>
        </r>
      </text>
    </comment>
    <comment ref="I3" authorId="0">
      <text>
        <r>
          <rPr>
            <sz val="10"/>
            <rFont val="Arial"/>
            <family val="2"/>
          </rPr>
          <t xml:space="preserve">======
ID#AAABZD9erok
     (2024-11-22 02:17:03)
Use positional abbreviations as defined in the instructions.</t>
        </r>
      </text>
    </comment>
    <comment ref="J3" authorId="0">
      <text>
        <r>
          <rPr>
            <sz val="10"/>
            <rFont val="Arial"/>
            <family val="2"/>
          </rPr>
          <t xml:space="preserve">======
ID#AAABZD9ero4
     (2024-11-22 02:17:03)
If you filled a second position while HR/HNSO, list that position here. If you did not fill a second position, leave this cell blank.</t>
        </r>
      </text>
    </comment>
    <comment ref="K3" authorId="0">
      <text>
        <r>
          <rPr>
            <sz val="10"/>
            <rFont val="Arial"/>
            <family val="2"/>
          </rPr>
          <t xml:space="preserve">======
ID#AAABZD9ero8
     (2024-11-22 02:17:03)
Do NOT mark Y for local software builds like the CRG Scoreboard. Use this for association-endorsed software (e.g., Rinxter).</t>
        </r>
      </text>
    </comment>
    <comment ref="L2" authorId="0">
      <text>
        <r>
          <rPr>
            <sz val="10"/>
            <rFont val="Arial"/>
            <family val="2"/>
          </rPr>
          <t xml:space="preserve">======
ID#AAABZD9bbqU
     (2024-11-22 02:17:03)
If this was a tournament game, list the THR. If you were the HR, list a witness, such as a team captain.</t>
        </r>
      </text>
    </comment>
    <comment ref="M2" authorId="0">
      <text>
        <r>
          <rPr>
            <sz val="10"/>
            <rFont val="Arial"/>
            <family val="2"/>
          </rPr>
          <t xml:space="preserve">======
ID#AAABZD9eroc
     (2024-11-22 02:17:03)
If this was a tournament game, list the THNSO. If you were the HNSO, list a witness, such as a team captain.</t>
        </r>
      </text>
    </comment>
    <comment ref="N2" authorId="0">
      <text>
        <r>
          <rPr>
            <sz val="10"/>
            <rFont val="Arial"/>
            <family val="2"/>
          </rPr>
          <t xml:space="preserve">======
ID#AAABZD9bbqs
     (2024-11-22 02:17:03)
List any other pertinent information here, such as game details or the CHR/CHNSO if this was a tournament game.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======
ID#AAABZD9bbrQ
     (2024-11-22 02:17:03)
These totals are the sum of positions worked not of games worked. These totals may exceed those shown in the Summary.</t>
        </r>
      </text>
    </comment>
    <comment ref="A32" authorId="0">
      <text>
        <r>
          <rPr>
            <sz val="10"/>
            <rFont val="Arial"/>
            <family val="2"/>
          </rPr>
          <t xml:space="preserve">======
ID#AAABZD9bbrc
     (2024-11-22 02:17:03)
These totals are the sum of positions worked not of games worked. These totals may exceed those shown in the Summary.</t>
        </r>
      </text>
    </comment>
    <comment ref="A34" authorId="0">
      <text>
        <r>
          <rPr>
            <sz val="10"/>
            <rFont val="Arial"/>
            <family val="2"/>
          </rPr>
          <t xml:space="preserve">======
ID#AAABZD9bbqk
     (2024-11-22 02:17:03)
Positional Family totals include secondary positions worked as HNSO.</t>
        </r>
      </text>
    </comment>
    <comment ref="A51" authorId="0">
      <text>
        <r>
          <rPr>
            <sz val="10"/>
            <rFont val="Arial"/>
            <family val="2"/>
          </rPr>
          <t xml:space="preserve">======
ID#AAABZD9bbqY
     (2024-11-22 02:17:03)
These totals are the sum of positions worked not of games worked. These totals may exceed those shown in the Summary.</t>
        </r>
      </text>
    </comment>
    <comment ref="A71" authorId="0">
      <text>
        <r>
          <rPr>
            <sz val="10"/>
            <rFont val="Arial"/>
            <family val="2"/>
          </rPr>
          <t xml:space="preserve">======
ID#AAABZD9erpM
     (2024-11-22 02:17:03)
These totals are the sum of positions worked not of games worked. These totals may exceed those shown in the Summary.</t>
        </r>
      </text>
    </comment>
    <comment ref="A73" authorId="0">
      <text>
        <r>
          <rPr>
            <sz val="10"/>
            <rFont val="Arial"/>
            <family val="2"/>
          </rPr>
          <t xml:space="preserve">======
ID#AAABZD9eroY
     (2024-11-22 02:17:03)
Positional Family totals include secondary positions worked as HNSO.</t>
        </r>
      </text>
    </comment>
    <comment ref="B7" authorId="0">
      <text>
        <r>
          <rPr>
            <sz val="10"/>
            <rFont val="Arial"/>
            <family val="2"/>
          </rPr>
          <t xml:space="preserve">======
ID#AAABZD9bbqc
     (2024-11-22 02:17:03)
Head Referees at Playoff games are Crew Head Referees. That information is tallied in the CHR row above.</t>
        </r>
      </text>
    </comment>
    <comment ref="B20" authorId="0">
      <text>
        <r>
          <rPr>
            <sz val="10"/>
            <rFont val="Arial"/>
            <family val="2"/>
          </rPr>
          <t xml:space="preserve">======
ID#AAABZD9bbq8
     (2024-11-22 02:17:03)
Head NSOs at Playoff games are Crew Head NSOs. That information is tallied in the CHNSO row above.</t>
        </r>
      </text>
    </comment>
    <comment ref="B46" authorId="0">
      <text>
        <r>
          <rPr>
            <sz val="10"/>
            <rFont val="Arial"/>
            <family val="2"/>
          </rPr>
          <t xml:space="preserve">======
ID#AAABZD9bbrI
     (2024-11-22 02:17:03)
Head Referees at Playoff games are Crew Head Referees. That information is tallied in the CHR row above.</t>
        </r>
      </text>
    </comment>
    <comment ref="B59" authorId="0">
      <text>
        <r>
          <rPr>
            <sz val="10"/>
            <rFont val="Arial"/>
            <family val="2"/>
          </rPr>
          <t xml:space="preserve">======
ID#AAABZD9bbrM
     (2024-11-22 02:17:03)
Head NSOs at Playoff games are Crew Head NSOs. That information is tallied in the CHNSO row above.</t>
        </r>
      </text>
    </comment>
    <comment ref="H12" authorId="0">
      <text>
        <r>
          <rPr>
            <sz val="10"/>
            <rFont val="Arial"/>
            <family val="2"/>
          </rPr>
          <t xml:space="preserve">======
ID#AAABZD9bbq0
     (2024-11-22 02:17:03)
These totals are the sum of positions worked not of games worked. These totals may exceed those shown in the Summary.</t>
        </r>
      </text>
    </comment>
    <comment ref="H32" authorId="0">
      <text>
        <r>
          <rPr>
            <sz val="10"/>
            <rFont val="Arial"/>
            <family val="2"/>
          </rPr>
          <t xml:space="preserve">======
ID#AAABZD9bbrg
     (2024-11-22 02:17:03)
These totals are the sum of positions worked not of games worked. These totals may exceed those shown in the Summary.</t>
        </r>
      </text>
    </comment>
    <comment ref="H34" authorId="0">
      <text>
        <r>
          <rPr>
            <sz val="10"/>
            <rFont val="Arial"/>
            <family val="2"/>
          </rPr>
          <t xml:space="preserve">======
ID#AAABZD9erpE
     (2024-11-22 02:17:03)
Positional Family totals include secondary positions worked as HNSO.</t>
        </r>
      </text>
    </comment>
    <comment ref="H51" authorId="0">
      <text>
        <r>
          <rPr>
            <sz val="10"/>
            <rFont val="Arial"/>
            <family val="2"/>
          </rPr>
          <t xml:space="preserve">======
ID#AAABZDjw61o
     (2024-11-22 02:17:03)
These totals are the sum of positions worked not of games worked. These totals may exceed those shown in the Summary.</t>
        </r>
      </text>
    </comment>
    <comment ref="H71" authorId="0">
      <text>
        <r>
          <rPr>
            <sz val="10"/>
            <rFont val="Arial"/>
            <family val="2"/>
          </rPr>
          <t xml:space="preserve">======
ID#AAABZD9erpA
     (2024-11-22 02:17:03)
These totals are the sum of positions worked not of games worked. These totals may exceed those shown in the Summary.</t>
        </r>
      </text>
    </comment>
    <comment ref="H73" authorId="0">
      <text>
        <r>
          <rPr>
            <sz val="10"/>
            <rFont val="Arial"/>
            <family val="2"/>
          </rPr>
          <t xml:space="preserve">======
ID#AAABZD9ero0
     (2024-11-22 02:17:03)
Positional Family totals include secondary positions worked as HNSO.</t>
        </r>
      </text>
    </comment>
    <comment ref="I7" authorId="0">
      <text>
        <r>
          <rPr>
            <sz val="10"/>
            <rFont val="Arial"/>
            <family val="2"/>
          </rPr>
          <t xml:space="preserve">======
ID#AAABZD9bbqw
     (2024-11-22 02:17:03)
Head Referees at Playoff games are Crew Head Referees. That information is tallied in the CHR row above.</t>
        </r>
      </text>
    </comment>
    <comment ref="I20" authorId="0">
      <text>
        <r>
          <rPr>
            <sz val="10"/>
            <rFont val="Arial"/>
            <family val="2"/>
          </rPr>
          <t xml:space="preserve">======
ID#AAABZDjw61s
     (2024-11-22 02:17:03)
Head NSOs at Playoff games are Crew Head NSOs. That information is tallied in the CHNSO row above.</t>
        </r>
      </text>
    </comment>
    <comment ref="I46" authorId="0">
      <text>
        <r>
          <rPr>
            <sz val="10"/>
            <rFont val="Arial"/>
            <family val="2"/>
          </rPr>
          <t xml:space="preserve">======
ID#AAABZD9erow
     (2024-11-22 02:17:03)
Head Referees at Playoff games are Crew Head Referees. That information is tallied in the CHR row above.</t>
        </r>
      </text>
    </comment>
    <comment ref="I59" authorId="0">
      <text>
        <r>
          <rPr>
            <sz val="10"/>
            <rFont val="Arial"/>
            <family val="2"/>
          </rPr>
          <t xml:space="preserve">======
ID#AAABZD9bbrA
     (2024-11-22 02:17:03)
Head NSOs at Playoff games are Crew Head NSOs. That information is tallied in the CHNSO row above.</t>
        </r>
      </text>
    </comment>
  </commentList>
</comments>
</file>

<file path=xl/sharedStrings.xml><?xml version="1.0" encoding="utf-8"?>
<sst xmlns="http://schemas.openxmlformats.org/spreadsheetml/2006/main" count="1360" uniqueCount="325">
  <si>
    <t xml:space="preserve">Flat Track Derby Game History Summary</t>
  </si>
  <si>
    <t xml:space="preserve">Official's Legal Name</t>
  </si>
  <si>
    <t xml:space="preserve">Alan Robertson</t>
  </si>
  <si>
    <t xml:space="preserve">Today's Date</t>
  </si>
  <si>
    <t xml:space="preserve">Official's Derby Name</t>
  </si>
  <si>
    <t xml:space="preserve">Redacted</t>
  </si>
  <si>
    <t xml:space="preserve">Officiating Since</t>
  </si>
  <si>
    <t xml:space="preserve">Affiliated League</t>
  </si>
  <si>
    <t xml:space="preserve">Sydney Roller Derby League</t>
  </si>
  <si>
    <t xml:space="preserve">Insurance #</t>
  </si>
  <si>
    <t xml:space="preserve">Provider</t>
  </si>
  <si>
    <t xml:space="preserve">Skate Victoria</t>
  </si>
  <si>
    <t xml:space="preserve">Ref Cert Level</t>
  </si>
  <si>
    <t xml:space="preserve">Endorsement(s)</t>
  </si>
  <si>
    <t xml:space="preserve">NSO Cert Level</t>
  </si>
  <si>
    <t xml:space="preserve">WFTDA</t>
  </si>
  <si>
    <t xml:space="preserve">Skating Positions</t>
  </si>
  <si>
    <t xml:space="preserve">Code</t>
  </si>
  <si>
    <t xml:space="preserve">Game Designation</t>
  </si>
  <si>
    <t xml:space="preserve">Non-Skating Positions</t>
  </si>
  <si>
    <t xml:space="preserve">Playoff</t>
  </si>
  <si>
    <t xml:space="preserve">Sanc</t>
  </si>
  <si>
    <t xml:space="preserve">Reg</t>
  </si>
  <si>
    <t xml:space="preserve">Other</t>
  </si>
  <si>
    <t xml:space="preserve">Head Referee</t>
  </si>
  <si>
    <t xml:space="preserve">HR</t>
  </si>
  <si>
    <t xml:space="preserve">—</t>
  </si>
  <si>
    <t xml:space="preserve">Head NSO</t>
  </si>
  <si>
    <t xml:space="preserve">HNSO</t>
  </si>
  <si>
    <t xml:space="preserve">Jammer Referee</t>
  </si>
  <si>
    <t xml:space="preserve">JR</t>
  </si>
  <si>
    <t xml:space="preserve">Penalty Tracker</t>
  </si>
  <si>
    <t xml:space="preserve">PT</t>
  </si>
  <si>
    <t xml:space="preserve">Inside Pack Referee</t>
  </si>
  <si>
    <t xml:space="preserve">IPR</t>
  </si>
  <si>
    <t xml:space="preserve">Penalty Wrangler</t>
  </si>
  <si>
    <t xml:space="preserve">PW</t>
  </si>
  <si>
    <t xml:space="preserve">Outside Pack Referee</t>
  </si>
  <si>
    <t xml:space="preserve">OPR</t>
  </si>
  <si>
    <t xml:space="preserve">Inside White Board</t>
  </si>
  <si>
    <t xml:space="preserve">IWB</t>
  </si>
  <si>
    <t xml:space="preserve">Alternate Referee</t>
  </si>
  <si>
    <t xml:space="preserve">ALTR</t>
  </si>
  <si>
    <t xml:space="preserve">Outside White Board</t>
  </si>
  <si>
    <t xml:space="preserve">OWB</t>
  </si>
  <si>
    <t xml:space="preserve">Total Referee</t>
  </si>
  <si>
    <t xml:space="preserve">Jam Timer</t>
  </si>
  <si>
    <t xml:space="preserve">JT</t>
  </si>
  <si>
    <t xml:space="preserve">Scorekeeper</t>
  </si>
  <si>
    <t xml:space="preserve">SK</t>
  </si>
  <si>
    <t xml:space="preserve">Tournament Head Referee</t>
  </si>
  <si>
    <t xml:space="preserve">THR</t>
  </si>
  <si>
    <t xml:space="preserve">Scoreboard Operator</t>
  </si>
  <si>
    <t xml:space="preserve">SO</t>
  </si>
  <si>
    <t xml:space="preserve">Crew Head Referee</t>
  </si>
  <si>
    <t xml:space="preserve">CHR</t>
  </si>
  <si>
    <t xml:space="preserve">Penalty Box Manager</t>
  </si>
  <si>
    <t xml:space="preserve">PBM</t>
  </si>
  <si>
    <t xml:space="preserve">Games Official</t>
  </si>
  <si>
    <t xml:space="preserve">GO</t>
  </si>
  <si>
    <t xml:space="preserve">Penalty Box Timer</t>
  </si>
  <si>
    <t xml:space="preserve">PBT</t>
  </si>
  <si>
    <t xml:space="preserve">Tournament Head NSO</t>
  </si>
  <si>
    <t xml:space="preserve">THNSO</t>
  </si>
  <si>
    <t xml:space="preserve">Lineup Tracker</t>
  </si>
  <si>
    <t xml:space="preserve">LT</t>
  </si>
  <si>
    <t xml:space="preserve">Crew Head NSO</t>
  </si>
  <si>
    <t xml:space="preserve">CHNSO</t>
  </si>
  <si>
    <t xml:space="preserve">Alternate NSO</t>
  </si>
  <si>
    <t xml:space="preserve">ALTN</t>
  </si>
  <si>
    <t xml:space="preserve">Total NSO</t>
  </si>
  <si>
    <t xml:space="preserve">WFTDA Officiating Clinics attended</t>
  </si>
  <si>
    <t xml:space="preserve">Total Software Operator Game Experience</t>
  </si>
  <si>
    <t xml:space="preserve">REF or NSO Track</t>
  </si>
  <si>
    <t xml:space="preserve">Location</t>
  </si>
  <si>
    <t xml:space="preserve">Year</t>
  </si>
  <si>
    <t xml:space="preserve">WFTDA Games Totals</t>
  </si>
  <si>
    <t xml:space="preserve">Current Rule Set</t>
  </si>
  <si>
    <t xml:space="preserve">Lifetime</t>
  </si>
  <si>
    <t xml:space="preserve">Referee</t>
  </si>
  <si>
    <t xml:space="preserve">NSO</t>
  </si>
  <si>
    <t xml:space="preserve">MRDA</t>
  </si>
  <si>
    <t xml:space="preserve">MRDA Officiating Clinics attended</t>
  </si>
  <si>
    <t xml:space="preserve">MRDA Games Totals</t>
  </si>
  <si>
    <t xml:space="preserve">Game and Officiating Position History</t>
  </si>
  <si>
    <t xml:space="preserve">Event Details</t>
  </si>
  <si>
    <t xml:space="preserve">Leagues and Teams</t>
  </si>
  <si>
    <t xml:space="preserve">Game Specifics</t>
  </si>
  <si>
    <t xml:space="preserve">Head Referee/Witness</t>
  </si>
  <si>
    <t xml:space="preserve">Head NSO/Witness</t>
  </si>
  <si>
    <t xml:space="preserve">Notes</t>
  </si>
  <si>
    <t xml:space="preserve">Date</t>
  </si>
  <si>
    <t xml:space="preserve">Tournament</t>
  </si>
  <si>
    <t xml:space="preserve">Host League</t>
  </si>
  <si>
    <t xml:space="preserve">Home Team/Higher Seed</t>
  </si>
  <si>
    <t xml:space="preserve">Visiting Team/Lower Seed</t>
  </si>
  <si>
    <t xml:space="preserve">Assoc</t>
  </si>
  <si>
    <t xml:space="preserve">Type</t>
  </si>
  <si>
    <t xml:space="preserve">Position</t>
  </si>
  <si>
    <t xml:space="preserve">HO 2nd Position (if applicable)</t>
  </si>
  <si>
    <t xml:space="preserve">Positional Software Operator?</t>
  </si>
  <si>
    <t xml:space="preserve">5x5</t>
  </si>
  <si>
    <t xml:space="preserve">Blue Mountains, NSW, Australia </t>
  </si>
  <si>
    <t xml:space="preserve">Blue Mountains Roller Derby League</t>
  </si>
  <si>
    <t xml:space="preserve">Sydney Roller Derby League (Velociraptors)</t>
  </si>
  <si>
    <t xml:space="preserve">Newcastle Roller Derby League </t>
  </si>
  <si>
    <t xml:space="preserve">John Ref Kennedy</t>
  </si>
  <si>
    <t xml:space="preserve">Inner West 10th Birthday</t>
  </si>
  <si>
    <t xml:space="preserve">Sydney Boys High, Sydney</t>
  </si>
  <si>
    <t xml:space="preserve">Inner West Roller Derby League</t>
  </si>
  <si>
    <t xml:space="preserve">Northern Beaches Roller Derby League</t>
  </si>
  <si>
    <t xml:space="preserve">Ritual Ideas</t>
  </si>
  <si>
    <t xml:space="preserve">Joint PT/LT position</t>
  </si>
  <si>
    <t xml:space="preserve">The Spanish Inquisition</t>
  </si>
  <si>
    <t xml:space="preserve">Windsor, NSW</t>
  </si>
  <si>
    <t xml:space="preserve">Central Coast Roller Derby League / S2D2</t>
  </si>
  <si>
    <t xml:space="preserve">Clareful Consideration</t>
  </si>
  <si>
    <t xml:space="preserve">Bellows</t>
  </si>
  <si>
    <t xml:space="preserve">Canberra Roller Derby League / Varsity Roller Derby League</t>
  </si>
  <si>
    <t xml:space="preserve">Jim Peccable</t>
  </si>
  <si>
    <t xml:space="preserve">Leo Slayer</t>
  </si>
  <si>
    <t xml:space="preserve">Jurassic Packs</t>
  </si>
  <si>
    <t xml:space="preserve">Bass Hill Velodrome, Sydney</t>
  </si>
  <si>
    <t xml:space="preserve">Potluck</t>
  </si>
  <si>
    <t xml:space="preserve">Denominator</t>
  </si>
  <si>
    <t xml:space="preserve">Nasty Surprise</t>
  </si>
  <si>
    <t xml:space="preserve">Bass Hill Velodrome, Sydney Australia</t>
  </si>
  <si>
    <t xml:space="preserve">Bones</t>
  </si>
  <si>
    <t xml:space="preserve">Sparkles</t>
  </si>
  <si>
    <t xml:space="preserve">Pride Fight</t>
  </si>
  <si>
    <t xml:space="preserve">Sydney</t>
  </si>
  <si>
    <t xml:space="preserve">Rainbows</t>
  </si>
  <si>
    <t xml:space="preserve">Butch</t>
  </si>
  <si>
    <t xml:space="preserve">Femme</t>
  </si>
  <si>
    <t xml:space="preserve">Northern Rivers Revolt</t>
  </si>
  <si>
    <t xml:space="preserve">Byron Bay, Australia</t>
  </si>
  <si>
    <t xml:space="preserve">Tweed Valley Rollers</t>
  </si>
  <si>
    <t xml:space="preserve">Brisbane City Rollers (Red Kennedys)</t>
  </si>
  <si>
    <t xml:space="preserve">Sydney Roller Derby League (Snipers)</t>
  </si>
  <si>
    <t xml:space="preserve">Northern Beaches (Sirens)</t>
  </si>
  <si>
    <t xml:space="preserve">Van Diemens</t>
  </si>
  <si>
    <t xml:space="preserve">South Seas Roller Derby (Banshees)</t>
  </si>
  <si>
    <t xml:space="preserve">Northern Beaches Roller Derby (Sirens)</t>
  </si>
  <si>
    <t xml:space="preserve">River Valley Rollers</t>
  </si>
  <si>
    <t xml:space="preserve">Northern Beaches Roller Derby </t>
  </si>
  <si>
    <t xml:space="preserve">Sydney, Australia</t>
  </si>
  <si>
    <t xml:space="preserve">Newcastle, Australia</t>
  </si>
  <si>
    <t xml:space="preserve">Newcastle Roller Derby League</t>
  </si>
  <si>
    <t xml:space="preserve">Inner West Roller Derby League B</t>
  </si>
  <si>
    <t xml:space="preserve">Western Sydney Rollers / South Side Derby</t>
  </si>
  <si>
    <t xml:space="preserve">Vengeful Vixen</t>
  </si>
  <si>
    <t xml:space="preserve">Seath Lord</t>
  </si>
  <si>
    <t xml:space="preserve">Maitland Roller Derby League</t>
  </si>
  <si>
    <t xml:space="preserve">Varsity Derby League</t>
  </si>
  <si>
    <t xml:space="preserve">2023-07-01</t>
  </si>
  <si>
    <t xml:space="preserve">ERRD Smackdown Tournament 2023</t>
  </si>
  <si>
    <t xml:space="preserve">PCYC Hawkesbury - Sydney, Australia</t>
  </si>
  <si>
    <t xml:space="preserve">Western Sydney Rollers</t>
  </si>
  <si>
    <t xml:space="preserve">CRASH Mixed Gender Roller Derby - The Ultimate Incredibles</t>
  </si>
  <si>
    <t xml:space="preserve">Toowoomba City Rollers - Quad Squad</t>
  </si>
  <si>
    <t xml:space="preserve">Body BagHer</t>
  </si>
  <si>
    <t xml:space="preserve">THR - John Ref. Kennedy / THNSO - Switzerland</t>
  </si>
  <si>
    <t xml:space="preserve">Northern Beaches Roller Derby League - Sirens</t>
  </si>
  <si>
    <t xml:space="preserve">Sydney Roller Derby League - Velociraptors</t>
  </si>
  <si>
    <t xml:space="preserve">Newcastle Roller Derby League - Dockyard Dames</t>
  </si>
  <si>
    <t xml:space="preserve">Eastern Region Roller Derby - ERRaDicators</t>
  </si>
  <si>
    <t xml:space="preserve">Inner West Roller Derby League - Bamshees</t>
  </si>
  <si>
    <t xml:space="preserve">Switzerland</t>
  </si>
  <si>
    <t xml:space="preserve">Newcastle Junior Roller Derby - The Combos</t>
  </si>
  <si>
    <t xml:space="preserve">Toowoomba City Rollers - Range Rascals</t>
  </si>
  <si>
    <t xml:space="preserve">Vixen</t>
  </si>
  <si>
    <t xml:space="preserve">Wollongong Illawarra Roller Derby League - Steel City Derby Dolls</t>
  </si>
  <si>
    <t xml:space="preserve">Central Coast Roller Derby United - Asgardians</t>
  </si>
  <si>
    <t xml:space="preserve">2023-07-02</t>
  </si>
  <si>
    <t xml:space="preserve">Inner West Roller Derby League - Skatecrashers</t>
  </si>
  <si>
    <t xml:space="preserve">Canberra Roller Derby League - Vice City Rollers</t>
  </si>
  <si>
    <t xml:space="preserve">Spanish Inquisition</t>
  </si>
  <si>
    <t xml:space="preserve">Dinotello TR2</t>
  </si>
  <si>
    <t xml:space="preserve">2024-07-23</t>
  </si>
  <si>
    <t xml:space="preserve">Fundays Round 1 2023</t>
  </si>
  <si>
    <t xml:space="preserve">Dunc Gray Velodrome, Bass Hill NSW, Australia</t>
  </si>
  <si>
    <t xml:space="preserve">The Young and the Rest of Us</t>
  </si>
  <si>
    <t xml:space="preserve">Baby got Back Blocks</t>
  </si>
  <si>
    <t xml:space="preserve">Snarls Dickens</t>
  </si>
  <si>
    <t xml:space="preserve">Even Stephen</t>
  </si>
  <si>
    <t xml:space="preserve">Sydney Roller Derby League (</t>
  </si>
  <si>
    <t xml:space="preserve">Fundays Round 2 2023</t>
  </si>
  <si>
    <t xml:space="preserve">A League of their Bones</t>
  </si>
  <si>
    <t xml:space="preserve">Denman Prospect, ACT</t>
  </si>
  <si>
    <t xml:space="preserve">Varsity Roller Derby League</t>
  </si>
  <si>
    <t xml:space="preserve">Western Sydney Rollers / South Side Derby League</t>
  </si>
  <si>
    <t xml:space="preserve">Roller Derby Extravaganza 2024</t>
  </si>
  <si>
    <t xml:space="preserve">Drag Queens</t>
  </si>
  <si>
    <t xml:space="preserve">Drag Kings</t>
  </si>
  <si>
    <t xml:space="preserve">Coastal All Stars</t>
  </si>
  <si>
    <t xml:space="preserve">Country All Stars</t>
  </si>
  <si>
    <t xml:space="preserve">Fundays Round 3 2023</t>
  </si>
  <si>
    <t xml:space="preserve">2024-03-29</t>
  </si>
  <si>
    <t xml:space="preserve">Get Sanctioned Eggstravaganza 2024</t>
  </si>
  <si>
    <t xml:space="preserve">Convict City Rollers Orange Thunder</t>
  </si>
  <si>
    <t xml:space="preserve">Canberra Roller Derby League Vice City Rollers</t>
  </si>
  <si>
    <t xml:space="preserve">Honey Badger</t>
  </si>
  <si>
    <t xml:space="preserve">Connie</t>
  </si>
  <si>
    <t xml:space="preserve">Sláine (THR), Menace (THR), Frank N Hurter (THNSO), Seath Lord (THNSO)</t>
  </si>
  <si>
    <t xml:space="preserve">Pirate City Rollers Union</t>
  </si>
  <si>
    <t xml:space="preserve">South Sea Roller Derby Banshees</t>
  </si>
  <si>
    <t xml:space="preserve">Newcastle Roller Derby League Dockyard Dames</t>
  </si>
  <si>
    <t xml:space="preserve">Mental Case</t>
  </si>
  <si>
    <t xml:space="preserve">2024-03-30</t>
  </si>
  <si>
    <t xml:space="preserve">Vector</t>
  </si>
  <si>
    <t xml:space="preserve">Sydney Roller Derby League </t>
  </si>
  <si>
    <t xml:space="preserve">2024-03-31</t>
  </si>
  <si>
    <t xml:space="preserve">WSR Family and Friends</t>
  </si>
  <si>
    <t xml:space="preserve">Penrith Valley Sports Center, Sydney, Australia</t>
  </si>
  <si>
    <t xml:space="preserve">The Barbies</t>
  </si>
  <si>
    <t xml:space="preserve">The Swifties</t>
  </si>
  <si>
    <t xml:space="preserve">5x5 Round 1 2024</t>
  </si>
  <si>
    <t xml:space="preserve">PCYC Northern Beaches</t>
  </si>
  <si>
    <t xml:space="preserve">Maitland Roller Derby Jailbreakers</t>
  </si>
  <si>
    <t xml:space="preserve">Clare Rool</t>
  </si>
  <si>
    <t xml:space="preserve">Northern Beaches Roller Derby League – Sirens</t>
  </si>
  <si>
    <t xml:space="preserve">Inner West Roller Derby League – Bamshees</t>
  </si>
  <si>
    <t xml:space="preserve">5x5 Round 2 2024</t>
  </si>
  <si>
    <t xml:space="preserve">Western Sydney Rollers / New England Roller Derby League</t>
  </si>
  <si>
    <t xml:space="preserve">2024-06-08</t>
  </si>
  <si>
    <t xml:space="preserve">The Great Southern Slam 2024</t>
  </si>
  <si>
    <t xml:space="preserve">Adelaide Showgrounds, Adelaide, Australia</t>
  </si>
  <si>
    <t xml:space="preserve">Adelaide Roller Derby</t>
  </si>
  <si>
    <t xml:space="preserve">South Central Roller Derby</t>
  </si>
  <si>
    <t xml:space="preserve">Diamond Vlley's Diamond Firetails</t>
  </si>
  <si>
    <t xml:space="preserve">Sláine, Spanners (THR) / Connie, Seath Lord (THNSO)</t>
  </si>
  <si>
    <t xml:space="preserve">Auckland Roller Derby's Auckland Bolts</t>
  </si>
  <si>
    <t xml:space="preserve">Adelaide Roller Derby's Rads</t>
  </si>
  <si>
    <t xml:space="preserve">Bullseye</t>
  </si>
  <si>
    <t xml:space="preserve">WestSide Roller Derby's Glory</t>
  </si>
  <si>
    <t xml:space="preserve">Van Diemen Rollers</t>
  </si>
  <si>
    <t xml:space="preserve">Brisbane City Rollers' Punk Blockers</t>
  </si>
  <si>
    <t xml:space="preserve">Sydney Roller Derby's As</t>
  </si>
  <si>
    <t xml:space="preserve">2024-06-09</t>
  </si>
  <si>
    <t xml:space="preserve">South Sea's Sirens</t>
  </si>
  <si>
    <t xml:space="preserve">Canberra's Vice City Rollers</t>
  </si>
  <si>
    <t xml:space="preserve">Victorian Roller Derby's All Stars</t>
  </si>
  <si>
    <t xml:space="preserve">Perth Roller Derby's West Coast Evils</t>
  </si>
  <si>
    <t xml:space="preserve">Convict City's Orange Thunder</t>
  </si>
  <si>
    <t xml:space="preserve">Glitterbiscuit</t>
  </si>
  <si>
    <t xml:space="preserve">2024-06-10</t>
  </si>
  <si>
    <t xml:space="preserve">Pivot City Ranges</t>
  </si>
  <si>
    <t xml:space="preserve">Dragon City's The Chiko Rollers</t>
  </si>
  <si>
    <t xml:space="preserve">Dude'll</t>
  </si>
  <si>
    <t xml:space="preserve">South Sea's Banshees</t>
  </si>
  <si>
    <t xml:space="preserve">2024-14-07</t>
  </si>
  <si>
    <t xml:space="preserve">5x5 Round 3 2024</t>
  </si>
  <si>
    <t xml:space="preserve">Wollongong Illawarra Roller Derby</t>
  </si>
  <si>
    <t xml:space="preserve">Clare</t>
  </si>
  <si>
    <t xml:space="preserve">Tinker-Belt-Her</t>
  </si>
  <si>
    <t xml:space="preserve">5x5 Round 4 2024</t>
  </si>
  <si>
    <t xml:space="preserve">Niagra Park Stadium</t>
  </si>
  <si>
    <t xml:space="preserve">5x5 Prelim Finals 2024</t>
  </si>
  <si>
    <t xml:space="preserve">Northern Beaches Roller Derby League </t>
  </si>
  <si>
    <t xml:space="preserve">Mr Grump</t>
  </si>
  <si>
    <t xml:space="preserve">Rawn Bear</t>
  </si>
  <si>
    <t xml:space="preserve">2024-10-05</t>
  </si>
  <si>
    <t xml:space="preserve">Tropicarnage Cup 2024</t>
  </si>
  <si>
    <t xml:space="preserve">Mount Warren Indoor Sports Centre, Mount Warren Park, Australia</t>
  </si>
  <si>
    <t xml:space="preserve">Queensland Roller Derby League</t>
  </si>
  <si>
    <t xml:space="preserve">Coastal Assassins Roller Derby Assassins</t>
  </si>
  <si>
    <t xml:space="preserve">Rockabellas Roller Derby League The Bellas</t>
  </si>
  <si>
    <t xml:space="preserve">Sharky</t>
  </si>
  <si>
    <t xml:space="preserve">THR Menace // THNSO Ruby Soho</t>
  </si>
  <si>
    <t xml:space="preserve">Sydney Roller Derby League - Sydney</t>
  </si>
  <si>
    <t xml:space="preserve">Brisbane City Rollers Red Kennedys</t>
  </si>
  <si>
    <t xml:space="preserve">Victorian Roller Derby League Thunder</t>
  </si>
  <si>
    <t xml:space="preserve">2024-10-06</t>
  </si>
  <si>
    <t xml:space="preserve">South Seas Roller Derby Sirens</t>
  </si>
  <si>
    <t xml:space="preserve">Sun State Roller Derby Swarm</t>
  </si>
  <si>
    <t xml:space="preserve">2024-10-07</t>
  </si>
  <si>
    <t xml:space="preserve">Sulphur City Steam Rollers The Runaways</t>
  </si>
  <si>
    <t xml:space="preserve">Dead End Derby Living Dead Stars</t>
  </si>
  <si>
    <t xml:space="preserve">Inner West Roller Derby League Skatecrashers</t>
  </si>
  <si>
    <t xml:space="preserve">Meekeighlah</t>
  </si>
  <si>
    <t xml:space="preserve">5x5 Grand Finals 2024</t>
  </si>
  <si>
    <t xml:space="preserve">Central Coast Roller Derby Union</t>
  </si>
  <si>
    <t xml:space="preserve">Central Coast Roller Derby United – Asgardians</t>
  </si>
  <si>
    <t xml:space="preserve">WSR Halloween Bout 2024</t>
  </si>
  <si>
    <t xml:space="preserve">Frankenstein’s Blockers</t>
  </si>
  <si>
    <t xml:space="preserve">Deadset Mummies</t>
  </si>
  <si>
    <t xml:space="preserve">Regional Redemption 2024</t>
  </si>
  <si>
    <t xml:space="preserve">Country Bumpkins</t>
  </si>
  <si>
    <t xml:space="preserve">City Slickers</t>
  </si>
  <si>
    <t xml:space="preserve">Fun Days Round 1 2024</t>
  </si>
  <si>
    <t xml:space="preserve">Smells Like Clean Padding</t>
  </si>
  <si>
    <t xml:space="preserve">I Like Big Bouts and I Cannot Lie</t>
  </si>
  <si>
    <t xml:space="preserve">2024–08-25</t>
  </si>
  <si>
    <t xml:space="preserve">Fun Days Round 2 2024</t>
  </si>
  <si>
    <t xml:space="preserve">The Bold and the Bootyful</t>
  </si>
  <si>
    <t xml:space="preserve">Candy Striper</t>
  </si>
  <si>
    <t xml:space="preserve">Statisfaction</t>
  </si>
  <si>
    <t xml:space="preserve">Fun Days Round 3 2024</t>
  </si>
  <si>
    <t xml:space="preserve">Fundercats 2: Electric Boogaloo</t>
  </si>
  <si>
    <t xml:space="preserve">Annual Totals by Position</t>
  </si>
  <si>
    <t xml:space="preserve">WFTDA Referee</t>
  </si>
  <si>
    <t xml:space="preserve">1 YEAR</t>
  </si>
  <si>
    <t xml:space="preserve">Total</t>
  </si>
  <si>
    <t xml:space="preserve">18 MONTHS</t>
  </si>
  <si>
    <t xml:space="preserve">ALT</t>
  </si>
  <si>
    <t xml:space="preserve">Total*</t>
  </si>
  <si>
    <t xml:space="preserve">WFTDA Non-Skating Official</t>
  </si>
  <si>
    <t xml:space="preserve">Operator</t>
  </si>
  <si>
    <t xml:space="preserve">Positional Family Totals (1 Year)</t>
  </si>
  <si>
    <t xml:space="preserve">Positional Family Totals (18 MONTHS)</t>
  </si>
  <si>
    <t xml:space="preserve">Penalty Tracking</t>
  </si>
  <si>
    <t xml:space="preserve">Scoring and Timing</t>
  </si>
  <si>
    <t xml:space="preserve">Penalty Management</t>
  </si>
  <si>
    <t xml:space="preserve">MRDA Referee</t>
  </si>
  <si>
    <t xml:space="preserve">2 YEARS</t>
  </si>
  <si>
    <t xml:space="preserve">MRDA Non-Skating Official</t>
  </si>
  <si>
    <t xml:space="preserve">Scoring &amp; Timing</t>
  </si>
  <si>
    <t xml:space="preserve">ALL OTHER DERBY</t>
  </si>
  <si>
    <t xml:space="preserve">All Other Officiating Clinics Attended</t>
  </si>
  <si>
    <t xml:space="preserve">All Other Games Totals</t>
  </si>
  <si>
    <t xml:space="preserve">Other Officiating Game and Position History</t>
  </si>
  <si>
    <t xml:space="preserve">Home Team</t>
  </si>
  <si>
    <t xml:space="preserve">Visiting Team</t>
  </si>
  <si>
    <t xml:space="preserve">Rules</t>
  </si>
  <si>
    <t xml:space="preserve">HO 2nd Position (if applicable)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</si>
</sst>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m/d/yyyy\ h:mm:ss"/>
    <numFmt numFmtId="167" formatCode="@"/>
  </numFmts>
  <fonts count="4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rgb="FF000000"/>
      <name val="Times New Roman"/>
      <family val="0"/>
      <charset val="1"/>
    </font>
    <font>
      <sz val="36"/>
      <color rgb="FF000000"/>
      <name val="Cambria"/>
      <family val="0"/>
      <charset val="1"/>
    </font>
    <font>
      <sz val="36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u val="single"/>
      <sz val="12"/>
      <color rgb="FF3F3F3F"/>
      <name val="Cambria"/>
      <family val="0"/>
      <charset val="1"/>
    </font>
    <font>
      <sz val="10"/>
      <color rgb="FF000000"/>
      <name val="Cambria"/>
      <family val="0"/>
      <charset val="1"/>
    </font>
    <font>
      <i val="true"/>
      <sz val="11"/>
      <color theme="1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i val="true"/>
      <sz val="10"/>
      <color rgb="FF000000"/>
      <name val="Cambria"/>
      <family val="0"/>
      <charset val="1"/>
    </font>
    <font>
      <sz val="10"/>
      <color rgb="FFFF0000"/>
      <name val="Arial"/>
      <family val="0"/>
      <charset val="1"/>
    </font>
    <font>
      <i val="true"/>
      <sz val="10"/>
      <color rgb="FF00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rgb="FF3F3F3F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sz val="8"/>
      <color theme="1"/>
      <name val="Cambria"/>
      <family val="0"/>
      <charset val="1"/>
    </font>
    <font>
      <b val="true"/>
      <sz val="8"/>
      <color theme="1"/>
      <name val="Cambria"/>
      <family val="0"/>
      <charset val="1"/>
    </font>
    <font>
      <b val="true"/>
      <sz val="8"/>
      <color rgb="FFFFFFFF"/>
      <name val="Cambria"/>
      <family val="0"/>
      <charset val="1"/>
    </font>
    <font>
      <sz val="32"/>
      <color rgb="FF000000"/>
      <name val="Times New Roman"/>
      <family val="0"/>
      <charset val="1"/>
    </font>
    <font>
      <sz val="36"/>
      <color rgb="FF000000"/>
      <name val="Arial"/>
      <family val="0"/>
      <charset val="1"/>
    </font>
    <font>
      <b val="true"/>
      <sz val="8"/>
      <color rgb="FF000000"/>
      <name val="Cambria"/>
      <family val="0"/>
      <charset val="1"/>
    </font>
    <font>
      <b val="true"/>
      <sz val="9"/>
      <color rgb="FF000000"/>
      <name val="Cambria"/>
      <family val="0"/>
      <charset val="1"/>
    </font>
    <font>
      <sz val="6"/>
      <color rgb="FF000000"/>
      <name val="Cambria"/>
      <family val="0"/>
      <charset val="1"/>
    </font>
    <font>
      <b val="true"/>
      <sz val="6"/>
      <color rgb="FF000000"/>
      <name val="Cambria"/>
      <family val="0"/>
      <charset val="1"/>
    </font>
    <font>
      <sz val="10"/>
      <name val="Arial"/>
      <family val="2"/>
    </font>
    <font>
      <sz val="32"/>
      <color rgb="FF000000"/>
      <name val="Viper nora"/>
      <family val="0"/>
      <charset val="1"/>
    </font>
    <font>
      <b val="true"/>
      <sz val="7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i val="true"/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Arial"/>
      <family val="0"/>
      <charset val="1"/>
    </font>
    <font>
      <b val="true"/>
      <i val="true"/>
      <sz val="10"/>
      <color rgb="FFFFFFFF"/>
      <name val="Cambria"/>
      <family val="0"/>
      <charset val="1"/>
    </font>
    <font>
      <sz val="10"/>
      <color rgb="FFFFFFFF"/>
      <name val="Cambria"/>
      <family val="0"/>
      <charset val="1"/>
    </font>
    <font>
      <b val="true"/>
      <sz val="9"/>
      <color theme="1"/>
      <name val="Cambria"/>
      <family val="0"/>
      <charset val="1"/>
    </font>
    <font>
      <sz val="6"/>
      <color theme="1"/>
      <name val="Cambria"/>
      <family val="0"/>
      <charset val="1"/>
    </font>
    <font>
      <b val="true"/>
      <sz val="6"/>
      <color theme="1"/>
      <name val="Cambria"/>
      <family val="0"/>
      <charset val="1"/>
    </font>
    <font>
      <b val="true"/>
      <sz val="12"/>
      <color theme="1"/>
      <name val="Cambria"/>
      <family val="0"/>
      <charset val="1"/>
    </font>
    <font>
      <sz val="11"/>
      <color rgb="FF000000"/>
      <name val="Cambria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BFBFBF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F9EBEE"/>
        <bgColor rgb="FFEFEFEF"/>
      </patternFill>
    </fill>
    <fill>
      <patternFill patternType="solid">
        <fgColor rgb="FF000000"/>
        <bgColor rgb="FF003300"/>
      </patternFill>
    </fill>
    <fill>
      <patternFill patternType="solid">
        <fgColor rgb="FFF8F8F8"/>
        <bgColor rgb="FFF3F3F3"/>
      </patternFill>
    </fill>
    <fill>
      <patternFill patternType="solid">
        <fgColor rgb="FFFFBDE1"/>
        <bgColor rgb="FFD9D9D9"/>
      </patternFill>
    </fill>
    <fill>
      <patternFill patternType="solid">
        <fgColor rgb="FFAED8FF"/>
        <bgColor rgb="FFD9D9D9"/>
      </patternFill>
    </fill>
    <fill>
      <patternFill patternType="solid">
        <fgColor rgb="FFD9D9D9"/>
        <bgColor rgb="FFFCE5CD"/>
      </patternFill>
    </fill>
    <fill>
      <patternFill patternType="solid">
        <fgColor rgb="FFF3F3F3"/>
        <bgColor rgb="FFEFEFEF"/>
      </patternFill>
    </fill>
    <fill>
      <patternFill patternType="solid">
        <fgColor rgb="FFFCE5CD"/>
        <bgColor rgb="FFF9EBEE"/>
      </patternFill>
    </fill>
    <fill>
      <patternFill patternType="solid">
        <fgColor rgb="FF4A86E8"/>
        <bgColor rgb="FF666699"/>
      </patternFill>
    </fill>
    <fill>
      <patternFill patternType="solid">
        <fgColor rgb="FF6AA84F"/>
        <bgColor rgb="FF969696"/>
      </patternFill>
    </fill>
    <fill>
      <patternFill patternType="solid">
        <fgColor rgb="FFA61C00"/>
        <bgColor rgb="FF800000"/>
      </patternFill>
    </fill>
    <fill>
      <patternFill patternType="solid">
        <fgColor rgb="FFC3F9C2"/>
        <bgColor rgb="FFD9D9D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0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EFEFEF"/>
          <bgColor rgb="FF000000"/>
        </patternFill>
      </fill>
    </dxf>
    <dxf>
      <fill>
        <patternFill patternType="solid">
          <fgColor rgb="FFF9EB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C3F9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8F8F8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3F9C2"/>
      <rgbColor rgb="FFF9EBEE"/>
      <rgbColor rgb="FFAED8FF"/>
      <rgbColor rgb="FFFFBDE1"/>
      <rgbColor rgb="FFCC99FF"/>
      <rgbColor rgb="FFFCE5CD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A61C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114480</xdr:colOff>
      <xdr:row>1</xdr:row>
      <xdr:rowOff>114480</xdr:rowOff>
    </xdr:from>
    <xdr:to>
      <xdr:col>14</xdr:col>
      <xdr:colOff>152280</xdr:colOff>
      <xdr:row>7</xdr:row>
      <xdr:rowOff>199800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7016760" y="676440"/>
          <a:ext cx="1676160" cy="1285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.51"/>
    <col collapsed="false" customWidth="true" hidden="false" outlineLevel="0" max="3" min="3" style="0" width="13.63"/>
    <col collapsed="false" customWidth="true" hidden="false" outlineLevel="0" max="4" min="4" style="0" width="16"/>
    <col collapsed="false" customWidth="true" hidden="false" outlineLevel="0" max="5" min="5" style="0" width="18.63"/>
    <col collapsed="false" customWidth="true" hidden="false" outlineLevel="0" max="6" min="6" style="0" width="11.12"/>
    <col collapsed="false" customWidth="true" hidden="false" outlineLevel="0" max="7" min="7" style="0" width="8.13"/>
    <col collapsed="false" customWidth="true" hidden="false" outlineLevel="0" max="8" min="8" style="0" width="8.88"/>
    <col collapsed="false" customWidth="true" hidden="false" outlineLevel="0" max="9" min="9" style="0" width="13"/>
    <col collapsed="false" customWidth="true" hidden="false" outlineLevel="0" max="10" min="10" style="0" width="11.63"/>
    <col collapsed="false" customWidth="true" hidden="false" outlineLevel="0" max="11" min="11" style="0" width="11.89"/>
    <col collapsed="false" customWidth="true" hidden="false" outlineLevel="0" max="26" min="12" style="0" width="11.5"/>
  </cols>
  <sheetData>
    <row r="1" customFormat="false" ht="52.5" hidden="false" customHeight="true" outlineLevel="0" collapsed="false">
      <c r="A1" s="1" t="str">
        <f aca="false">IFERROR(__xludf.dummyfunction("IMPORTRANGE(""1V5OIElI2MQo07KSlDqNMWMvWuTLDbyT-YC4EEx4A3Gw"", ""Live Instructions!A1:K123"")"),"#REF!")</f>
        <v>#REF!</v>
      </c>
      <c r="B1" s="1"/>
      <c r="C1" s="1"/>
      <c r="D1" s="1"/>
      <c r="E1" s="1"/>
      <c r="F1" s="1"/>
      <c r="G1" s="1"/>
      <c r="H1" s="1"/>
      <c r="I1" s="1"/>
      <c r="J1" s="2" t="str">
        <f aca="false">"COMPUTED_VALUE"</f>
        <v>COMPUTED_VALUE</v>
      </c>
      <c r="K1" s="3" t="str">
        <f aca="false">"COMPUTED_VALUE"</f>
        <v>COMPUTED_VALUE</v>
      </c>
    </row>
    <row r="2" customFormat="false" ht="16.5" hidden="false" customHeight="true" outlineLevel="0" collapsed="false">
      <c r="A2" s="4" t="str">
        <f aca="false">"COMPUTED_VALUE"</f>
        <v>COMPUTED_VALUE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6.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15.75" hidden="false" customHeight="true" outlineLevel="0" collapsed="false">
      <c r="A4" s="6" t="str">
        <f aca="false">"COMPUTED_VALUE"</f>
        <v>COMPUTED_VALUE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15.75" hidden="false" customHeight="true" outlineLevel="0" collapsed="false">
      <c r="A5" s="7" t="str">
        <f aca="false">"COMPUTED_VALUE"</f>
        <v>COMPUTED_VALUE</v>
      </c>
      <c r="B5" s="7"/>
      <c r="C5" s="7"/>
      <c r="D5" s="7"/>
      <c r="E5" s="7"/>
      <c r="F5" s="8" t="str">
        <f aca="false">"COMPUTED_VALUE"</f>
        <v>COMPUTED_VALUE</v>
      </c>
      <c r="G5" s="8"/>
      <c r="H5" s="8"/>
      <c r="I5" s="9" t="str">
        <f aca="false">"COMPUTED_VALUE"</f>
        <v>COMPUTED_VALUE</v>
      </c>
      <c r="K5" s="10"/>
    </row>
    <row r="6" customFormat="false" ht="15.75" hidden="false" customHeight="true" outlineLevel="0" collapsed="false">
      <c r="A6" s="10" t="str">
        <f aca="false">"COMPUTED_VALUE"</f>
        <v>COMPUTED_VALUE</v>
      </c>
      <c r="B6" s="11"/>
      <c r="C6" s="11"/>
      <c r="D6" s="11"/>
      <c r="E6" s="12" t="str">
        <f aca="false">"COMPUTED_VALUE"</f>
        <v>COMPUTED_VALUE</v>
      </c>
      <c r="F6" s="11"/>
      <c r="G6" s="11"/>
      <c r="H6" s="11"/>
      <c r="I6" s="11"/>
      <c r="J6" s="11"/>
      <c r="K6" s="10"/>
    </row>
    <row r="7" customFormat="false" ht="15.75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  <c r="K7" s="10"/>
    </row>
    <row r="8" customFormat="false" ht="15.75" hidden="false" customHeight="true" outlineLevel="0" collapsed="false">
      <c r="A8" s="6" t="str">
        <f aca="false">"COMPUTED_VALUE"</f>
        <v>COMPUTED_VALUE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15.75" hidden="false" customHeight="true" outlineLevel="0" collapsed="false">
      <c r="A9" s="13" t="str">
        <f aca="false">"COMPUTED_VALUE"</f>
        <v>COMPUTED_VALUE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.75" hidden="false" customHeight="true" outlineLevel="0" collapsed="false">
      <c r="A10" s="13" t="str">
        <f aca="false">"COMPUTED_VALUE"</f>
        <v>COMPUTED_VALUE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5.75" hidden="false" customHeight="true" outlineLevel="0" collapsed="false">
      <c r="A12" s="6" t="str">
        <f aca="false">"COMPUTED_VALUE"</f>
        <v>COMPUTED_VALUE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5.75" hidden="false" customHeight="true" outlineLevel="0" collapsed="false">
      <c r="A13" s="14" t="str">
        <f aca="false">"COMPUTED_VALUE"</f>
        <v>COMPUTED_VALUE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5.75" hidden="false" customHeight="true" outlineLevel="0" collapsed="false">
      <c r="A14" s="14" t="str">
        <f aca="false">"COMPUTED_VALUE"</f>
        <v>COMPUTED_VALUE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customFormat="false" ht="15.75" hidden="false" customHeight="true" outlineLevel="0" collapsed="false">
      <c r="A15" s="14" t="str">
        <f aca="false">"COMPUTED_VALUE"</f>
        <v>COMPUTED_VALUE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5.75" hidden="false" customHeight="true" outlineLevel="0" collapsed="false">
      <c r="A16" s="14" t="str">
        <f aca="false">"COMPUTED_VALUE"</f>
        <v>COMPUTED_VALUE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customFormat="false" ht="15.75" hidden="false" customHeight="true" outlineLevel="0" collapsed="false">
      <c r="A17" s="14" t="str">
        <f aca="false">"COMPUTED_VALUE"</f>
        <v>COMPUTED_VALUE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customFormat="false" ht="15.7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5.75" hidden="false" customHeight="true" outlineLevel="0" collapsed="false">
      <c r="A19" s="6" t="str">
        <f aca="false">"COMPUTED_VALUE"</f>
        <v>COMPUTED_VALUE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.75" hidden="false" customHeight="true" outlineLevel="0" collapsed="false">
      <c r="A20" s="16" t="str">
        <f aca="false">"COMPUTED_VALUE"</f>
        <v>COMPUTED_VALUE</v>
      </c>
      <c r="B20" s="17"/>
      <c r="C20" s="17"/>
      <c r="D20" s="17"/>
      <c r="E20" s="14"/>
      <c r="F20" s="14"/>
      <c r="G20" s="14"/>
      <c r="H20" s="14"/>
      <c r="I20" s="14"/>
      <c r="J20" s="14"/>
      <c r="K20" s="14"/>
    </row>
    <row r="21" customFormat="false" ht="15.75" hidden="false" customHeight="true" outlineLevel="0" collapsed="false">
      <c r="A21" s="14" t="str">
        <f aca="false">"COMPUTED_VALUE"</f>
        <v>COMPUTED_VALUE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customFormat="false" ht="15.75" hidden="false" customHeight="true" outlineLevel="0" collapsed="false">
      <c r="A22" s="14" t="str">
        <f aca="false">"COMPUTED_VALUE"</f>
        <v>COMPUTED_VALUE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customFormat="false" ht="15.75" hidden="false" customHeight="true" outlineLevel="0" collapsed="false">
      <c r="A23" s="18"/>
      <c r="B23" s="18" t="str">
        <f aca="false">"COMPUTED_VALUE"</f>
        <v>COMPUTED_VALUE</v>
      </c>
      <c r="C23" s="14"/>
      <c r="D23" s="14"/>
      <c r="E23" s="14"/>
      <c r="F23" s="14"/>
      <c r="G23" s="14"/>
      <c r="H23" s="14"/>
      <c r="I23" s="14"/>
      <c r="J23" s="14"/>
      <c r="K23" s="14"/>
    </row>
    <row r="24" customFormat="false" ht="15.75" hidden="false" customHeight="true" outlineLevel="0" collapsed="false">
      <c r="A24" s="14" t="str">
        <f aca="false">"COMPUTED_VALUE"</f>
        <v>COMPUTED_VALUE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customFormat="false" ht="15.75" hidden="false" customHeight="true" outlineLevel="0" collapsed="false">
      <c r="A25" s="16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customFormat="false" ht="15.75" hidden="false" customHeight="true" outlineLevel="0" collapsed="false">
      <c r="A26" s="16" t="str">
        <f aca="false">"COMPUTED_VALUE"</f>
        <v>COMPUTED_VALUE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customFormat="false" ht="15.75" hidden="false" customHeight="true" outlineLevel="0" collapsed="false">
      <c r="A27" s="18" t="str">
        <f aca="false">"COMPUTED_VALUE"</f>
        <v>COMPUTED_VALUE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customFormat="false" ht="15.75" hidden="false" customHeight="true" outlineLevel="0" collapsed="false">
      <c r="A28" s="14" t="str">
        <f aca="false">"COMPUTED_VALUE"</f>
        <v>COMPUTED_VALUE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customFormat="false" ht="15.75" hidden="false" customHeight="true" outlineLevel="0" collapsed="false">
      <c r="A29" s="14" t="str">
        <f aca="false">"COMPUTED_VALUE"</f>
        <v>COMPUTED_VALUE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customFormat="false" ht="15.75" hidden="false" customHeight="true" outlineLevel="0" collapsed="false">
      <c r="A30" s="14"/>
      <c r="B30" s="18" t="str">
        <f aca="false">"COMPUTED_VALUE"</f>
        <v>COMPUTED_VALUE</v>
      </c>
      <c r="C30" s="14"/>
      <c r="D30" s="14"/>
      <c r="E30" s="14"/>
      <c r="F30" s="14"/>
      <c r="G30" s="14"/>
      <c r="H30" s="14"/>
      <c r="I30" s="14"/>
      <c r="J30" s="14"/>
      <c r="K30" s="14"/>
    </row>
    <row r="31" customFormat="false" ht="15.75" hidden="false" customHeight="true" outlineLevel="0" collapsed="false">
      <c r="A31" s="14" t="str">
        <f aca="false">"COMPUTED_VALUE"</f>
        <v>COMPUTED_VALUE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customFormat="false" ht="15.75" hidden="false" customHeight="true" outlineLevel="0" collapsed="false">
      <c r="A32" s="14"/>
      <c r="B32" s="18" t="str">
        <f aca="false">"COMPUTED_VALUE"</f>
        <v>COMPUTED_VALUE</v>
      </c>
      <c r="C32" s="14"/>
      <c r="D32" s="14"/>
      <c r="E32" s="14"/>
      <c r="F32" s="14"/>
      <c r="G32" s="14"/>
      <c r="H32" s="14"/>
      <c r="I32" s="14"/>
      <c r="J32" s="14"/>
      <c r="K32" s="14"/>
    </row>
    <row r="33" customFormat="false" ht="15.75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customFormat="false" ht="15.75" hidden="false" customHeight="true" outlineLevel="0" collapsed="false">
      <c r="A34" s="16" t="str">
        <f aca="false">"COMPUTED_VALUE"</f>
        <v>COMPUTED_VALUE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customFormat="false" ht="15.75" hidden="false" customHeight="true" outlineLevel="0" collapsed="false">
      <c r="A35" s="18" t="str">
        <f aca="false">"COMPUTED_VALUE"</f>
        <v>COMPUTED_VALUE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customFormat="false" ht="15.75" hidden="false" customHeight="true" outlineLevel="0" collapsed="false">
      <c r="A36" s="18" t="str">
        <f aca="false">"COMPUTED_VALUE"</f>
        <v>COMPUTED_VALUE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customFormat="false" ht="15.75" hidden="false" customHeight="true" outlineLevel="0" collapsed="false">
      <c r="A37" s="18" t="str">
        <f aca="false">"COMPUTED_VALUE"</f>
        <v>COMPUTED_VALUE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customFormat="false" ht="15.75" hidden="false" customHeight="true" outlineLevel="0" collapsed="false">
      <c r="A38" s="18"/>
      <c r="B38" s="19" t="str">
        <f aca="false">"COMPUTED_VALUE"</f>
        <v>COMPUTED_VALUE</v>
      </c>
      <c r="C38" s="19"/>
      <c r="D38" s="19"/>
      <c r="E38" s="19"/>
      <c r="F38" s="19"/>
      <c r="G38" s="19"/>
      <c r="H38" s="19"/>
      <c r="I38" s="19"/>
      <c r="J38" s="19"/>
      <c r="K38" s="19"/>
    </row>
    <row r="39" customFormat="false" ht="15.75" hidden="false" customHeight="true" outlineLevel="0" collapsed="false">
      <c r="A39" s="18"/>
      <c r="B39" s="18" t="str">
        <f aca="false">"COMPUTED_VALUE"</f>
        <v>COMPUTED_VALUE</v>
      </c>
      <c r="C39" s="18"/>
      <c r="D39" s="18"/>
      <c r="E39" s="18"/>
      <c r="F39" s="18"/>
      <c r="G39" s="18"/>
      <c r="H39" s="18"/>
      <c r="I39" s="18"/>
      <c r="J39" s="18"/>
      <c r="K39" s="18"/>
    </row>
    <row r="40" customFormat="false" ht="15.75" hidden="false" customHeight="true" outlineLevel="0" collapsed="false">
      <c r="A40" s="20"/>
      <c r="B40" s="19" t="str">
        <f aca="false">"COMPUTED_VALUE"</f>
        <v>COMPUTED_VALUE</v>
      </c>
      <c r="C40" s="19"/>
      <c r="D40" s="19"/>
      <c r="E40" s="19"/>
      <c r="F40" s="19"/>
      <c r="G40" s="19"/>
      <c r="H40" s="19"/>
      <c r="I40" s="19"/>
      <c r="J40" s="19"/>
      <c r="K40" s="19"/>
    </row>
    <row r="41" customFormat="false" ht="15.75" hidden="false" customHeight="true" outlineLevel="0" collapsed="false">
      <c r="A41" s="21" t="str">
        <f aca="false">"COMPUTED_VALUE"</f>
        <v>COMPUTED_VALUE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customFormat="false" ht="15.75" hidden="false" customHeight="true" outlineLevel="0" collapsed="false">
      <c r="A42" s="20"/>
      <c r="B42" s="19" t="str">
        <f aca="false">"COMPUTED_VALUE"</f>
        <v>COMPUTED_VALUE</v>
      </c>
      <c r="C42" s="15"/>
      <c r="D42" s="15"/>
      <c r="E42" s="15"/>
      <c r="F42" s="15"/>
      <c r="G42" s="15"/>
      <c r="H42" s="15"/>
      <c r="I42" s="15"/>
      <c r="J42" s="15"/>
      <c r="K42" s="15"/>
    </row>
    <row r="43" customFormat="false" ht="15.75" hidden="false" customHeight="true" outlineLevel="0" collapsed="false">
      <c r="A43" s="15" t="str">
        <f aca="false">"COMPUTED_VALUE"</f>
        <v>COMPUTED_VALUE</v>
      </c>
      <c r="B43" s="19"/>
      <c r="C43" s="15"/>
      <c r="D43" s="15"/>
      <c r="E43" s="15"/>
      <c r="F43" s="15"/>
      <c r="G43" s="15"/>
      <c r="H43" s="15"/>
      <c r="I43" s="15"/>
      <c r="J43" s="15"/>
      <c r="K43" s="15"/>
    </row>
    <row r="44" customFormat="false" ht="15.75" hidden="false" customHeight="true" outlineLevel="0" collapsed="false">
      <c r="A44" s="21" t="str">
        <f aca="false">"COMPUTED_VALUE"</f>
        <v>COMPUTED_VALUE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customFormat="false" ht="15.75" hidden="false" customHeight="true" outlineLevel="0" collapsed="false">
      <c r="A45" s="21" t="str">
        <f aca="false">"COMPUTED_VALUE"</f>
        <v>COMPUTED_VALUE</v>
      </c>
      <c r="B45" s="15"/>
      <c r="C45" s="15"/>
      <c r="D45" s="15"/>
      <c r="E45" s="15"/>
      <c r="F45" s="15"/>
      <c r="G45" s="15"/>
      <c r="H45" s="15"/>
      <c r="I45" s="15"/>
      <c r="J45" s="15"/>
      <c r="K45" s="15" t="str">
        <f aca="false">"COMPUTED_VALUE"</f>
        <v>COMPUTED_VALUE</v>
      </c>
    </row>
    <row r="46" customFormat="false" ht="15.75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customFormat="false" ht="15.75" hidden="false" customHeight="true" outlineLevel="0" collapsed="false">
      <c r="A47" s="22" t="str">
        <f aca="false">"COMPUTED_VALUE"</f>
        <v>COMPUTED_VALUE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customFormat="false" ht="15.75" hidden="false" customHeight="true" outlineLevel="0" collapsed="false">
      <c r="A48" s="14" t="str">
        <f aca="false">"COMPUTED_VALUE"</f>
        <v>COMPUTED_VALUE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customFormat="false" ht="15.75" hidden="false" customHeight="true" outlineLevel="0" collapsed="false">
      <c r="A49" s="14"/>
      <c r="B49" s="18" t="str">
        <f aca="false">"COMPUTED_VALUE"</f>
        <v>COMPUTED_VALUE</v>
      </c>
      <c r="C49" s="14"/>
      <c r="D49" s="14"/>
      <c r="E49" s="14"/>
      <c r="F49" s="14"/>
      <c r="G49" s="14"/>
      <c r="H49" s="14"/>
      <c r="I49" s="14"/>
      <c r="J49" s="14"/>
      <c r="K49" s="14"/>
    </row>
    <row r="50" customFormat="false" ht="15.75" hidden="false" customHeight="true" outlineLevel="0" collapsed="false">
      <c r="A50" s="23" t="str">
        <f aca="false">"COMPUTED_VALUE"</f>
        <v>COMPUTED_VALUE</v>
      </c>
      <c r="B50" s="24"/>
      <c r="C50" s="23"/>
      <c r="D50" s="23"/>
      <c r="E50" s="23"/>
      <c r="F50" s="23"/>
      <c r="G50" s="23"/>
      <c r="H50" s="23"/>
      <c r="I50" s="23"/>
      <c r="J50" s="23"/>
      <c r="K50" s="23"/>
    </row>
    <row r="51" customFormat="false" ht="15.75" hidden="false" customHeight="true" outlineLevel="0" collapsed="false">
      <c r="A51" s="14"/>
      <c r="B51" s="18" t="str">
        <f aca="false">"COMPUTED_VALUE"</f>
        <v>COMPUTED_VALUE</v>
      </c>
      <c r="C51" s="14"/>
      <c r="D51" s="14"/>
      <c r="E51" s="14"/>
      <c r="F51" s="14"/>
      <c r="G51" s="14"/>
      <c r="H51" s="14"/>
      <c r="I51" s="14"/>
      <c r="J51" s="14"/>
      <c r="K51" s="14"/>
    </row>
    <row r="52" customFormat="false" ht="15.75" hidden="false" customHeight="true" outlineLevel="0" collapsed="false">
      <c r="A52" s="14" t="str">
        <f aca="false">"COMPUTED_VALUE"</f>
        <v>COMPUTED_VALUE</v>
      </c>
      <c r="B52" s="18"/>
      <c r="C52" s="14"/>
      <c r="D52" s="14"/>
      <c r="E52" s="18" t="str">
        <f aca="false">"COMPUTED_VALUE"</f>
        <v>COMPUTED_VALUE</v>
      </c>
      <c r="F52" s="14"/>
      <c r="G52" s="14"/>
      <c r="H52" s="14"/>
      <c r="I52" s="14"/>
      <c r="J52" s="14"/>
      <c r="K52" s="14"/>
    </row>
    <row r="53" customFormat="false" ht="15.7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customFormat="false" ht="15.75" hidden="false" customHeight="true" outlineLevel="0" collapsed="false">
      <c r="A54" s="25" t="str">
        <f aca="false">"COMPUTED_VALUE"</f>
        <v>COMPUTED_VALUE</v>
      </c>
      <c r="B54" s="25"/>
      <c r="C54" s="25"/>
      <c r="D54" s="25"/>
      <c r="E54" s="25"/>
      <c r="F54" s="10"/>
      <c r="G54" s="25" t="str">
        <f aca="false">"COMPUTED_VALUE"</f>
        <v>COMPUTED_VALUE</v>
      </c>
      <c r="H54" s="25"/>
      <c r="I54" s="25"/>
      <c r="J54" s="25"/>
      <c r="K54" s="25"/>
    </row>
    <row r="55" customFormat="false" ht="15.75" hidden="false" customHeight="true" outlineLevel="0" collapsed="false">
      <c r="A55" s="26" t="str">
        <f aca="false">"COMPUTED_VALUE"</f>
        <v>COMPUTED_VALUE</v>
      </c>
      <c r="B55" s="26" t="str">
        <f aca="false">"COMPUTED_VALUE"</f>
        <v>COMPUTED_VALUE</v>
      </c>
      <c r="C55" s="26"/>
      <c r="D55" s="26" t="str">
        <f aca="false">"COMPUTED_VALUE"</f>
        <v>COMPUTED_VALUE</v>
      </c>
      <c r="E55" s="26"/>
      <c r="F55" s="10"/>
      <c r="G55" s="26" t="str">
        <f aca="false">"COMPUTED_VALUE"</f>
        <v>COMPUTED_VALUE</v>
      </c>
      <c r="H55" s="26" t="str">
        <f aca="false">"COMPUTED_VALUE"</f>
        <v>COMPUTED_VALUE</v>
      </c>
      <c r="I55" s="26"/>
      <c r="J55" s="26"/>
      <c r="K55" s="26"/>
    </row>
    <row r="56" customFormat="false" ht="15.75" hidden="false" customHeight="true" outlineLevel="0" collapsed="false">
      <c r="A56" s="27" t="str">
        <f aca="false">"COMPUTED_VALUE"</f>
        <v>COMPUTED_VALUE</v>
      </c>
      <c r="B56" s="27" t="str">
        <f aca="false">"COMPUTED_VALUE"</f>
        <v>COMPUTED_VALUE</v>
      </c>
      <c r="C56" s="27"/>
      <c r="D56" s="26" t="str">
        <f aca="false">"COMPUTED_VALUE"</f>
        <v>COMPUTED_VALUE</v>
      </c>
      <c r="E56" s="26"/>
      <c r="F56" s="10"/>
      <c r="G56" s="26" t="str">
        <f aca="false">"COMPUTED_VALUE"</f>
        <v>COMPUTED_VALUE</v>
      </c>
      <c r="H56" s="26" t="str">
        <f aca="false">"COMPUTED_VALUE"</f>
        <v>COMPUTED_VALUE</v>
      </c>
      <c r="I56" s="26"/>
      <c r="J56" s="26"/>
      <c r="K56" s="26"/>
    </row>
    <row r="57" customFormat="false" ht="15.75" hidden="false" customHeight="true" outlineLevel="0" collapsed="false">
      <c r="A57" s="27" t="str">
        <f aca="false">"COMPUTED_VALUE"</f>
        <v>COMPUTED_VALUE</v>
      </c>
      <c r="B57" s="27" t="str">
        <f aca="false">"COMPUTED_VALUE"</f>
        <v>COMPUTED_VALUE</v>
      </c>
      <c r="C57" s="27"/>
      <c r="D57" s="26" t="str">
        <f aca="false">"COMPUTED_VALUE"</f>
        <v>COMPUTED_VALUE</v>
      </c>
      <c r="E57" s="26"/>
      <c r="F57" s="10"/>
      <c r="G57" s="26" t="str">
        <f aca="false">"COMPUTED_VALUE"</f>
        <v>COMPUTED_VALUE</v>
      </c>
      <c r="H57" s="26" t="str">
        <f aca="false">"COMPUTED_VALUE"</f>
        <v>COMPUTED_VALUE</v>
      </c>
      <c r="I57" s="26"/>
      <c r="J57" s="26"/>
      <c r="K57" s="26"/>
    </row>
    <row r="58" customFormat="false" ht="15.75" hidden="false" customHeight="true" outlineLevel="0" collapsed="false">
      <c r="A58" s="28"/>
      <c r="B58" s="28"/>
      <c r="C58" s="28"/>
      <c r="D58" s="10"/>
      <c r="E58" s="10"/>
      <c r="F58" s="10"/>
      <c r="G58" s="10"/>
      <c r="H58" s="10"/>
      <c r="I58" s="10"/>
      <c r="J58" s="10"/>
      <c r="K58" s="10"/>
    </row>
    <row r="59" customFormat="false" ht="15.75" hidden="false" customHeight="true" outlineLevel="0" collapsed="false">
      <c r="A59" s="25" t="str">
        <f aca="false">"COMPUTED_VALUE"</f>
        <v>COMPUTED_VALUE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customFormat="false" ht="15.75" hidden="false" customHeight="true" outlineLevel="0" collapsed="false">
      <c r="A60" s="27" t="str">
        <f aca="false">"COMPUTED_VALUE"</f>
        <v>COMPUTED_VALUE</v>
      </c>
      <c r="B60" s="27" t="str">
        <f aca="false">"COMPUTED_VALUE"</f>
        <v>COMPUTED_VALUE</v>
      </c>
      <c r="C60" s="27"/>
      <c r="D60" s="26" t="str">
        <f aca="false">"COMPUTED_VALUE"</f>
        <v>COMPUTED_VALUE</v>
      </c>
      <c r="E60" s="26"/>
      <c r="F60" s="26"/>
      <c r="G60" s="26"/>
      <c r="H60" s="26"/>
      <c r="I60" s="26"/>
      <c r="J60" s="26"/>
      <c r="K60" s="26"/>
    </row>
    <row r="61" customFormat="false" ht="15.75" hidden="false" customHeight="true" outlineLevel="0" collapsed="false">
      <c r="A61" s="27" t="str">
        <f aca="false">"COMPUTED_VALUE"</f>
        <v>COMPUTED_VALUE</v>
      </c>
      <c r="B61" s="27" t="str">
        <f aca="false">"COMPUTED_VALUE"</f>
        <v>COMPUTED_VALUE</v>
      </c>
      <c r="C61" s="27"/>
      <c r="D61" s="26" t="str">
        <f aca="false">"COMPUTED_VALUE"</f>
        <v>COMPUTED_VALUE</v>
      </c>
      <c r="E61" s="26"/>
      <c r="F61" s="26"/>
      <c r="G61" s="26"/>
      <c r="H61" s="26"/>
      <c r="I61" s="26"/>
      <c r="J61" s="26"/>
      <c r="K61" s="26"/>
    </row>
    <row r="62" customFormat="false" ht="15.75" hidden="false" customHeight="true" outlineLevel="0" collapsed="false">
      <c r="A62" s="27" t="str">
        <f aca="false">"COMPUTED_VALUE"</f>
        <v>COMPUTED_VALUE</v>
      </c>
      <c r="B62" s="27" t="str">
        <f aca="false">"COMPUTED_VALUE"</f>
        <v>COMPUTED_VALUE</v>
      </c>
      <c r="C62" s="27"/>
      <c r="D62" s="26" t="str">
        <f aca="false">"COMPUTED_VALUE"</f>
        <v>COMPUTED_VALUE</v>
      </c>
      <c r="E62" s="26"/>
      <c r="F62" s="26"/>
      <c r="G62" s="26"/>
      <c r="H62" s="26"/>
      <c r="I62" s="26"/>
      <c r="J62" s="26"/>
      <c r="K62" s="26"/>
    </row>
    <row r="63" customFormat="false" ht="15.75" hidden="false" customHeight="true" outlineLevel="0" collapsed="false">
      <c r="A63" s="27" t="str">
        <f aca="false">"COMPUTED_VALUE"</f>
        <v>COMPUTED_VALUE</v>
      </c>
      <c r="B63" s="27" t="str">
        <f aca="false">"COMPUTED_VALUE"</f>
        <v>COMPUTED_VALUE</v>
      </c>
      <c r="C63" s="27"/>
      <c r="D63" s="26" t="str">
        <f aca="false">"COMPUTED_VALUE"</f>
        <v>COMPUTED_VALUE</v>
      </c>
      <c r="E63" s="26"/>
      <c r="F63" s="26"/>
      <c r="G63" s="26"/>
      <c r="H63" s="26"/>
      <c r="I63" s="26"/>
      <c r="J63" s="26"/>
      <c r="K63" s="26"/>
    </row>
    <row r="64" customFormat="false" ht="15.75" hidden="false" customHeight="true" outlineLevel="0" collapsed="false">
      <c r="A64" s="27" t="str">
        <f aca="false">"COMPUTED_VALUE"</f>
        <v>COMPUTED_VALUE</v>
      </c>
      <c r="B64" s="27" t="str">
        <f aca="false">"COMPUTED_VALUE"</f>
        <v>COMPUTED_VALUE</v>
      </c>
      <c r="C64" s="27"/>
      <c r="D64" s="26" t="str">
        <f aca="false">"COMPUTED_VALUE"</f>
        <v>COMPUTED_VALUE</v>
      </c>
      <c r="E64" s="26"/>
      <c r="F64" s="26"/>
      <c r="G64" s="26"/>
      <c r="H64" s="26"/>
      <c r="I64" s="26"/>
      <c r="J64" s="26"/>
      <c r="K64" s="26"/>
    </row>
    <row r="65" customFormat="false" ht="15.75" hidden="false" customHeight="true" outlineLevel="0" collapsed="false">
      <c r="A65" s="28"/>
      <c r="B65" s="28"/>
      <c r="C65" s="28"/>
      <c r="D65" s="10"/>
      <c r="E65" s="10"/>
      <c r="F65" s="10"/>
      <c r="G65" s="10"/>
      <c r="H65" s="10"/>
      <c r="I65" s="10"/>
      <c r="J65" s="10"/>
      <c r="K65" s="10"/>
    </row>
    <row r="66" customFormat="false" ht="15.75" hidden="false" customHeight="true" outlineLevel="0" collapsed="false">
      <c r="A66" s="25" t="str">
        <f aca="false">"COMPUTED_VALUE"</f>
        <v>COMPUTED_VALUE</v>
      </c>
      <c r="B66" s="25" t="str">
        <f aca="false">"COMPUTED_VALUE"</f>
        <v>COMPUTED_VALUE</v>
      </c>
      <c r="C66" s="25"/>
      <c r="D66" s="25" t="str">
        <f aca="false">"COMPUTED_VALUE"</f>
        <v>COMPUTED_VALUE</v>
      </c>
      <c r="E66" s="25"/>
      <c r="F66" s="25"/>
      <c r="G66" s="25"/>
      <c r="H66" s="25"/>
      <c r="I66" s="25"/>
      <c r="J66" s="25"/>
      <c r="K66" s="25"/>
    </row>
    <row r="67" customFormat="false" ht="15.75" hidden="false" customHeight="true" outlineLevel="0" collapsed="false">
      <c r="A67" s="27" t="str">
        <f aca="false">"COMPUTED_VALUE"</f>
        <v>COMPUTED_VALUE</v>
      </c>
      <c r="B67" s="27" t="str">
        <f aca="false">"COMPUTED_VALUE"</f>
        <v>COMPUTED_VALUE</v>
      </c>
      <c r="C67" s="27"/>
      <c r="D67" s="26" t="str">
        <f aca="false">"COMPUTED_VALUE"</f>
        <v>COMPUTED_VALUE</v>
      </c>
      <c r="E67" s="26"/>
      <c r="F67" s="26"/>
      <c r="G67" s="26"/>
      <c r="H67" s="26"/>
      <c r="I67" s="26"/>
      <c r="J67" s="26"/>
      <c r="K67" s="26"/>
    </row>
    <row r="68" customFormat="false" ht="15.75" hidden="false" customHeight="true" outlineLevel="0" collapsed="false">
      <c r="A68" s="29" t="str">
        <f aca="false">"COMPUTED_VALUE"</f>
        <v>COMPUTED_VALUE</v>
      </c>
      <c r="B68" s="27" t="str">
        <f aca="false">"COMPUTED_VALUE"</f>
        <v>COMPUTED_VALUE</v>
      </c>
      <c r="C68" s="27"/>
      <c r="D68" s="26" t="str">
        <f aca="false">"COMPUTED_VALUE"</f>
        <v>COMPUTED_VALUE</v>
      </c>
      <c r="E68" s="26"/>
      <c r="F68" s="26"/>
      <c r="G68" s="26"/>
      <c r="H68" s="26"/>
      <c r="I68" s="26"/>
      <c r="J68" s="26"/>
      <c r="K68" s="26"/>
    </row>
    <row r="69" customFormat="false" ht="15.75" hidden="false" customHeight="true" outlineLevel="0" collapsed="false">
      <c r="A69" s="29" t="str">
        <f aca="false">"COMPUTED_VALUE"</f>
        <v>COMPUTED_VALUE</v>
      </c>
      <c r="B69" s="27" t="str">
        <f aca="false">"COMPUTED_VALUE"</f>
        <v>COMPUTED_VALUE</v>
      </c>
      <c r="C69" s="27"/>
      <c r="D69" s="26" t="str">
        <f aca="false">"COMPUTED_VALUE"</f>
        <v>COMPUTED_VALUE</v>
      </c>
      <c r="E69" s="26"/>
      <c r="F69" s="26"/>
      <c r="G69" s="26"/>
      <c r="H69" s="26"/>
      <c r="I69" s="26"/>
      <c r="J69" s="26"/>
      <c r="K69" s="26"/>
    </row>
    <row r="70" customFormat="false" ht="15.75" hidden="false" customHeight="true" outlineLevel="0" collapsed="false">
      <c r="A70" s="29" t="str">
        <f aca="false">"COMPUTED_VALUE"</f>
        <v>COMPUTED_VALUE</v>
      </c>
      <c r="B70" s="27" t="str">
        <f aca="false">"COMPUTED_VALUE"</f>
        <v>COMPUTED_VALUE</v>
      </c>
      <c r="C70" s="27"/>
      <c r="D70" s="26" t="str">
        <f aca="false">"COMPUTED_VALUE"</f>
        <v>COMPUTED_VALUE</v>
      </c>
      <c r="E70" s="26"/>
      <c r="F70" s="26"/>
      <c r="G70" s="26"/>
      <c r="H70" s="26"/>
      <c r="I70" s="26"/>
      <c r="J70" s="26"/>
      <c r="K70" s="26"/>
    </row>
    <row r="71" customFormat="false" ht="15.75" hidden="false" customHeight="true" outlineLevel="0" collapsed="false">
      <c r="A71" s="30" t="str">
        <f aca="false">"COMPUTED_VALUE"</f>
        <v>COMPUTED_VALUE</v>
      </c>
      <c r="B71" s="27" t="str">
        <f aca="false">"COMPUTED_VALUE"</f>
        <v>COMPUTED_VALUE</v>
      </c>
      <c r="C71" s="27"/>
      <c r="D71" s="26" t="str">
        <f aca="false">"COMPUTED_VALUE"</f>
        <v>COMPUTED_VALUE</v>
      </c>
      <c r="E71" s="26"/>
      <c r="F71" s="26"/>
      <c r="G71" s="26"/>
      <c r="H71" s="26"/>
      <c r="I71" s="26"/>
      <c r="J71" s="26"/>
      <c r="K71" s="26"/>
    </row>
    <row r="72" customFormat="false" ht="15.75" hidden="false" customHeight="true" outlineLevel="0" collapsed="false">
      <c r="A72" s="30" t="str">
        <f aca="false">"COMPUTED_VALUE"</f>
        <v>COMPUTED_VALUE</v>
      </c>
      <c r="B72" s="27" t="str">
        <f aca="false">"COMPUTED_VALUE"</f>
        <v>COMPUTED_VALUE</v>
      </c>
      <c r="C72" s="27"/>
      <c r="D72" s="26" t="str">
        <f aca="false">"COMPUTED_VALUE"</f>
        <v>COMPUTED_VALUE</v>
      </c>
      <c r="E72" s="26"/>
      <c r="F72" s="26"/>
      <c r="G72" s="26"/>
      <c r="H72" s="26"/>
      <c r="I72" s="26"/>
      <c r="J72" s="26"/>
      <c r="K72" s="26"/>
    </row>
    <row r="73" customFormat="false" ht="15.75" hidden="false" customHeight="true" outlineLevel="0" collapsed="false">
      <c r="A73" s="30" t="str">
        <f aca="false">"COMPUTED_VALUE"</f>
        <v>COMPUTED_VALUE</v>
      </c>
      <c r="B73" s="27" t="str">
        <f aca="false">"COMPUTED_VALUE"</f>
        <v>COMPUTED_VALUE</v>
      </c>
      <c r="C73" s="27"/>
      <c r="D73" s="26" t="str">
        <f aca="false">"COMPUTED_VALUE"</f>
        <v>COMPUTED_VALUE</v>
      </c>
      <c r="E73" s="26"/>
      <c r="F73" s="26"/>
      <c r="G73" s="26"/>
      <c r="H73" s="26"/>
      <c r="I73" s="26"/>
      <c r="J73" s="26"/>
      <c r="K73" s="26"/>
    </row>
    <row r="74" customFormat="false" ht="15.75" hidden="false" customHeight="true" outlineLevel="0" collapsed="false">
      <c r="A74" s="29" t="str">
        <f aca="false">"COMPUTED_VALUE"</f>
        <v>COMPUTED_VALUE</v>
      </c>
      <c r="B74" s="27" t="str">
        <f aca="false">"COMPUTED_VALUE"</f>
        <v>COMPUTED_VALUE</v>
      </c>
      <c r="C74" s="27"/>
      <c r="D74" s="26" t="str">
        <f aca="false">"COMPUTED_VALUE"</f>
        <v>COMPUTED_VALUE</v>
      </c>
      <c r="E74" s="26"/>
      <c r="F74" s="26"/>
      <c r="G74" s="26"/>
      <c r="H74" s="26"/>
      <c r="I74" s="26"/>
      <c r="J74" s="26"/>
      <c r="K74" s="26"/>
    </row>
    <row r="75" customFormat="false" ht="15.75" hidden="false" customHeight="true" outlineLevel="0" collapsed="false">
      <c r="A75" s="29" t="str">
        <f aca="false">"COMPUTED_VALUE"</f>
        <v>COMPUTED_VALUE</v>
      </c>
      <c r="B75" s="27" t="str">
        <f aca="false">"COMPUTED_VALUE"</f>
        <v>COMPUTED_VALUE</v>
      </c>
      <c r="C75" s="27"/>
      <c r="D75" s="26" t="str">
        <f aca="false">"COMPUTED_VALUE"</f>
        <v>COMPUTED_VALUE</v>
      </c>
      <c r="E75" s="26"/>
      <c r="F75" s="26"/>
      <c r="G75" s="26"/>
      <c r="H75" s="26"/>
      <c r="I75" s="26"/>
      <c r="J75" s="26"/>
      <c r="K75" s="26"/>
    </row>
    <row r="76" customFormat="false" ht="15.75" hidden="false" customHeight="true" outlineLevel="0" collapsed="false">
      <c r="A76" s="29" t="str">
        <f aca="false">"COMPUTED_VALUE"</f>
        <v>COMPUTED_VALUE</v>
      </c>
      <c r="B76" s="27" t="str">
        <f aca="false">"COMPUTED_VALUE"</f>
        <v>COMPUTED_VALUE</v>
      </c>
      <c r="C76" s="27"/>
      <c r="D76" s="26" t="str">
        <f aca="false">"COMPUTED_VALUE"</f>
        <v>COMPUTED_VALUE</v>
      </c>
      <c r="E76" s="26"/>
      <c r="F76" s="26"/>
      <c r="G76" s="26"/>
      <c r="H76" s="26"/>
      <c r="I76" s="26"/>
      <c r="J76" s="26"/>
      <c r="K76" s="26"/>
    </row>
    <row r="77" customFormat="false" ht="15.75" hidden="false" customHeight="true" outlineLevel="0" collapsed="false">
      <c r="A77" s="30" t="str">
        <f aca="false">"COMPUTED_VALUE"</f>
        <v>COMPUTED_VALUE</v>
      </c>
      <c r="B77" s="27" t="str">
        <f aca="false">"COMPUTED_VALUE"</f>
        <v>COMPUTED_VALUE</v>
      </c>
      <c r="C77" s="27"/>
      <c r="D77" s="26" t="str">
        <f aca="false">"COMPUTED_VALUE"</f>
        <v>COMPUTED_VALUE</v>
      </c>
      <c r="E77" s="26"/>
      <c r="F77" s="26"/>
      <c r="G77" s="26"/>
      <c r="H77" s="26"/>
      <c r="I77" s="26"/>
      <c r="J77" s="26"/>
      <c r="K77" s="26"/>
    </row>
    <row r="78" customFormat="false" ht="15.75" hidden="false" customHeight="true" outlineLevel="0" collapsed="false">
      <c r="A78" s="30" t="str">
        <f aca="false">"COMPUTED_VALUE"</f>
        <v>COMPUTED_VALUE</v>
      </c>
      <c r="B78" s="27" t="str">
        <f aca="false">"COMPUTED_VALUE"</f>
        <v>COMPUTED_VALUE</v>
      </c>
      <c r="C78" s="27"/>
      <c r="D78" s="26" t="str">
        <f aca="false">"COMPUTED_VALUE"</f>
        <v>COMPUTED_VALUE</v>
      </c>
      <c r="E78" s="26"/>
      <c r="F78" s="26"/>
      <c r="G78" s="26"/>
      <c r="H78" s="26"/>
      <c r="I78" s="26"/>
      <c r="J78" s="26"/>
      <c r="K78" s="26"/>
    </row>
    <row r="79" customFormat="false" ht="15.75" hidden="false" customHeight="true" outlineLevel="0" collapsed="false">
      <c r="A79" s="30" t="str">
        <f aca="false">"COMPUTED_VALUE"</f>
        <v>COMPUTED_VALUE</v>
      </c>
      <c r="B79" s="27" t="str">
        <f aca="false">"COMPUTED_VALUE"</f>
        <v>COMPUTED_VALUE</v>
      </c>
      <c r="C79" s="27"/>
      <c r="D79" s="26" t="str">
        <f aca="false">"COMPUTED_VALUE"</f>
        <v>COMPUTED_VALUE</v>
      </c>
      <c r="E79" s="26"/>
      <c r="F79" s="26"/>
      <c r="G79" s="26"/>
      <c r="H79" s="26"/>
      <c r="I79" s="26"/>
      <c r="J79" s="26"/>
      <c r="K79" s="26"/>
    </row>
    <row r="80" customFormat="false" ht="15.75" hidden="false" customHeight="true" outlineLevel="0" collapsed="false">
      <c r="A80" s="30" t="str">
        <f aca="false">"COMPUTED_VALUE"</f>
        <v>COMPUTED_VALUE</v>
      </c>
      <c r="B80" s="27" t="str">
        <f aca="false">"COMPUTED_VALUE"</f>
        <v>COMPUTED_VALUE</v>
      </c>
      <c r="C80" s="27"/>
      <c r="D80" s="26" t="str">
        <f aca="false">"COMPUTED_VALUE"</f>
        <v>COMPUTED_VALUE</v>
      </c>
      <c r="E80" s="26"/>
      <c r="F80" s="26"/>
      <c r="G80" s="26"/>
      <c r="H80" s="26"/>
      <c r="I80" s="26"/>
      <c r="J80" s="26"/>
      <c r="K80" s="26"/>
    </row>
    <row r="81" customFormat="false" ht="15.75" hidden="false" customHeight="true" outlineLevel="0" collapsed="false">
      <c r="A81" s="30" t="str">
        <f aca="false">"COMPUTED_VALUE"</f>
        <v>COMPUTED_VALUE</v>
      </c>
      <c r="B81" s="27" t="str">
        <f aca="false">"COMPUTED_VALUE"</f>
        <v>COMPUTED_VALUE</v>
      </c>
      <c r="C81" s="27"/>
      <c r="D81" s="26" t="str">
        <f aca="false">"COMPUTED_VALUE"</f>
        <v>COMPUTED_VALUE</v>
      </c>
      <c r="E81" s="26"/>
      <c r="F81" s="26"/>
      <c r="G81" s="26"/>
      <c r="H81" s="26"/>
      <c r="I81" s="26"/>
      <c r="J81" s="26"/>
      <c r="K81" s="26"/>
    </row>
    <row r="82" customFormat="false" ht="15.75" hidden="false" customHeight="true" outlineLevel="0" collapsed="false">
      <c r="A82" s="30" t="str">
        <f aca="false">"COMPUTED_VALUE"</f>
        <v>COMPUTED_VALUE</v>
      </c>
      <c r="B82" s="27" t="str">
        <f aca="false">"COMPUTED_VALUE"</f>
        <v>COMPUTED_VALUE</v>
      </c>
      <c r="C82" s="27"/>
      <c r="D82" s="26" t="str">
        <f aca="false">"COMPUTED_VALUE"</f>
        <v>COMPUTED_VALUE</v>
      </c>
      <c r="E82" s="26"/>
      <c r="F82" s="26"/>
      <c r="G82" s="26"/>
      <c r="H82" s="26"/>
      <c r="I82" s="26"/>
      <c r="J82" s="26"/>
      <c r="K82" s="26"/>
    </row>
    <row r="83" customFormat="false" ht="15.75" hidden="false" customHeight="true" outlineLevel="0" collapsed="false">
      <c r="A83" s="30" t="str">
        <f aca="false">"COMPUTED_VALUE"</f>
        <v>COMPUTED_VALUE</v>
      </c>
      <c r="B83" s="27" t="str">
        <f aca="false">"COMPUTED_VALUE"</f>
        <v>COMPUTED_VALUE</v>
      </c>
      <c r="C83" s="27"/>
      <c r="D83" s="26" t="str">
        <f aca="false">"COMPUTED_VALUE"</f>
        <v>COMPUTED_VALUE</v>
      </c>
      <c r="E83" s="26"/>
      <c r="F83" s="26"/>
      <c r="G83" s="26"/>
      <c r="H83" s="26"/>
      <c r="I83" s="26"/>
      <c r="J83" s="26"/>
      <c r="K83" s="26"/>
    </row>
    <row r="84" customFormat="false" ht="15.75" hidden="false" customHeight="true" outlineLevel="0" collapsed="false">
      <c r="A84" s="30" t="str">
        <f aca="false">"COMPUTED_VALUE"</f>
        <v>COMPUTED_VALUE</v>
      </c>
      <c r="B84" s="27" t="str">
        <f aca="false">"COMPUTED_VALUE"</f>
        <v>COMPUTED_VALUE</v>
      </c>
      <c r="C84" s="27"/>
      <c r="D84" s="26" t="str">
        <f aca="false">"COMPUTED_VALUE"</f>
        <v>COMPUTED_VALUE</v>
      </c>
      <c r="E84" s="26"/>
      <c r="F84" s="26"/>
      <c r="G84" s="26"/>
      <c r="H84" s="26"/>
      <c r="I84" s="26"/>
      <c r="J84" s="26"/>
      <c r="K84" s="26"/>
    </row>
    <row r="85" customFormat="false" ht="15.75" hidden="false" customHeight="true" outlineLevel="0" collapsed="false">
      <c r="A85" s="30" t="str">
        <f aca="false">"COMPUTED_VALUE"</f>
        <v>COMPUTED_VALUE</v>
      </c>
      <c r="B85" s="27" t="str">
        <f aca="false">"COMPUTED_VALUE"</f>
        <v>COMPUTED_VALUE</v>
      </c>
      <c r="C85" s="27"/>
      <c r="D85" s="26" t="str">
        <f aca="false">"COMPUTED_VALUE"</f>
        <v>COMPUTED_VALUE</v>
      </c>
      <c r="E85" s="26"/>
      <c r="F85" s="26"/>
      <c r="G85" s="26"/>
      <c r="H85" s="26"/>
      <c r="I85" s="26"/>
      <c r="J85" s="26"/>
      <c r="K85" s="26"/>
    </row>
    <row r="86" customFormat="false" ht="15.75" hidden="false" customHeight="true" outlineLevel="0" collapsed="false">
      <c r="A86" s="30" t="str">
        <f aca="false">"COMPUTED_VALUE"</f>
        <v>COMPUTED_VALUE</v>
      </c>
      <c r="B86" s="27" t="str">
        <f aca="false">"COMPUTED_VALUE"</f>
        <v>COMPUTED_VALUE</v>
      </c>
      <c r="C86" s="27"/>
      <c r="D86" s="26" t="str">
        <f aca="false">"COMPUTED_VALUE"</f>
        <v>COMPUTED_VALUE</v>
      </c>
      <c r="E86" s="26"/>
      <c r="F86" s="26"/>
      <c r="G86" s="26"/>
      <c r="H86" s="26"/>
      <c r="I86" s="26"/>
      <c r="J86" s="26"/>
      <c r="K86" s="26"/>
    </row>
    <row r="87" customFormat="false" ht="15.75" hidden="false" customHeight="true" outlineLevel="0" collapsed="false">
      <c r="A87" s="29" t="str">
        <f aca="false">"COMPUTED_VALUE"</f>
        <v>COMPUTED_VALUE</v>
      </c>
      <c r="B87" s="27" t="str">
        <f aca="false">"COMPUTED_VALUE"</f>
        <v>COMPUTED_VALUE</v>
      </c>
      <c r="C87" s="27"/>
      <c r="D87" s="26" t="str">
        <f aca="false">"COMPUTED_VALUE"</f>
        <v>COMPUTED_VALUE</v>
      </c>
      <c r="E87" s="26"/>
      <c r="F87" s="26"/>
      <c r="G87" s="26"/>
      <c r="H87" s="26"/>
      <c r="I87" s="26"/>
      <c r="J87" s="26"/>
      <c r="K87" s="26"/>
    </row>
    <row r="88" customFormat="false" ht="15.75" hidden="false" customHeight="true" outlineLevel="0" collapsed="false">
      <c r="A88" s="30" t="str">
        <f aca="false">"COMPUTED_VALUE"</f>
        <v>COMPUTED_VALUE</v>
      </c>
      <c r="B88" s="27" t="str">
        <f aca="false">"COMPUTED_VALUE"</f>
        <v>COMPUTED_VALUE</v>
      </c>
      <c r="C88" s="27"/>
      <c r="D88" s="26" t="str">
        <f aca="false">"COMPUTED_VALUE"</f>
        <v>COMPUTED_VALUE</v>
      </c>
      <c r="E88" s="26"/>
      <c r="F88" s="26"/>
      <c r="G88" s="26"/>
      <c r="H88" s="26"/>
      <c r="I88" s="26"/>
      <c r="J88" s="26"/>
      <c r="K88" s="26"/>
    </row>
    <row r="89" customFormat="false" ht="15.75" hidden="false" customHeight="true" outlineLevel="0" collapsed="false">
      <c r="A89" s="28"/>
      <c r="B89" s="28"/>
      <c r="C89" s="28"/>
      <c r="D89" s="10"/>
      <c r="E89" s="10"/>
      <c r="F89" s="10"/>
      <c r="G89" s="10"/>
      <c r="H89" s="10"/>
      <c r="I89" s="10"/>
      <c r="J89" s="10"/>
      <c r="K89" s="10"/>
    </row>
    <row r="90" customFormat="false" ht="15.75" hidden="false" customHeight="true" outlineLevel="0" collapsed="false">
      <c r="A90" s="6" t="str">
        <f aca="false">"COMPUTED_VALUE"</f>
        <v>COMPUTED_VALUE</v>
      </c>
      <c r="B90" s="6"/>
      <c r="C90" s="6"/>
      <c r="D90" s="6"/>
      <c r="E90" s="6"/>
      <c r="F90" s="6"/>
      <c r="G90" s="6"/>
      <c r="H90" s="6"/>
      <c r="I90" s="6"/>
      <c r="J90" s="6"/>
      <c r="K90" s="6"/>
    </row>
    <row r="91" customFormat="false" ht="15.75" hidden="false" customHeight="true" outlineLevel="0" collapsed="false">
      <c r="A91" s="18" t="str">
        <f aca="false">"COMPUTED_VALUE"</f>
        <v>COMPUTED_VALUE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customFormat="false" ht="15.75" hidden="false" customHeight="true" outlineLevel="0" collapsed="false">
      <c r="A92" s="18" t="str">
        <f aca="false">"COMPUTED_VALUE"</f>
        <v>COMPUTED_VALUE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customFormat="false" ht="15.75" hidden="false" customHeight="true" outlineLevel="0" collapsed="false">
      <c r="A93" s="28"/>
      <c r="B93" s="28"/>
      <c r="C93" s="28"/>
      <c r="D93" s="10"/>
      <c r="E93" s="10"/>
      <c r="F93" s="10"/>
      <c r="G93" s="10"/>
      <c r="H93" s="10"/>
      <c r="I93" s="10"/>
      <c r="J93" s="10"/>
      <c r="K93" s="10"/>
    </row>
    <row r="94" customFormat="false" ht="15.75" hidden="false" customHeight="true" outlineLevel="0" collapsed="false">
      <c r="A94" s="6" t="str">
        <f aca="false">"COMPUTED_VALUE"</f>
        <v>COMPUTED_VALUE</v>
      </c>
      <c r="B94" s="6"/>
      <c r="C94" s="6"/>
      <c r="D94" s="6"/>
      <c r="E94" s="6"/>
      <c r="F94" s="6"/>
      <c r="G94" s="6"/>
      <c r="H94" s="6"/>
      <c r="I94" s="6"/>
      <c r="J94" s="6"/>
      <c r="K94" s="6"/>
    </row>
    <row r="95" customFormat="false" ht="15.75" hidden="false" customHeight="true" outlineLevel="0" collapsed="false">
      <c r="A95" s="18" t="str">
        <f aca="false">"COMPUTED_VALUE"</f>
        <v>COMPUTED_VALUE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customFormat="false" ht="15.75" hidden="false" customHeight="true" outlineLevel="0" collapsed="false">
      <c r="A96" s="28"/>
      <c r="B96" s="28"/>
      <c r="C96" s="28"/>
      <c r="D96" s="10"/>
      <c r="E96" s="10"/>
      <c r="F96" s="10"/>
      <c r="G96" s="10"/>
      <c r="H96" s="10"/>
      <c r="I96" s="10"/>
      <c r="J96" s="10"/>
      <c r="K96" s="10"/>
    </row>
    <row r="97" customFormat="false" ht="15.75" hidden="false" customHeight="true" outlineLevel="0" collapsed="false">
      <c r="A97" s="6" t="str">
        <f aca="false">"COMPUTED_VALUE"</f>
        <v>COMPUTED_VALUE</v>
      </c>
      <c r="B97" s="6"/>
      <c r="C97" s="6"/>
      <c r="D97" s="6"/>
      <c r="E97" s="6"/>
      <c r="F97" s="6"/>
      <c r="G97" s="6"/>
      <c r="H97" s="6"/>
      <c r="I97" s="6"/>
      <c r="J97" s="6"/>
      <c r="K97" s="6"/>
    </row>
    <row r="98" customFormat="false" ht="15.75" hidden="false" customHeight="true" outlineLevel="0" collapsed="false">
      <c r="A98" s="18" t="str">
        <f aca="false">"COMPUTED_VALUE"</f>
        <v>COMPUTED_VALUE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customFormat="false" ht="15.75" hidden="false" customHeight="true" outlineLevel="0" collapsed="false">
      <c r="A99" s="15"/>
      <c r="B99" s="19" t="str">
        <f aca="false">"COMPUTED_VALUE"</f>
        <v>COMPUTED_VALUE</v>
      </c>
      <c r="C99" s="19"/>
      <c r="D99" s="19"/>
      <c r="E99" s="19"/>
      <c r="F99" s="19"/>
      <c r="G99" s="19"/>
      <c r="H99" s="19"/>
      <c r="I99" s="19"/>
      <c r="J99" s="19"/>
      <c r="K99" s="19"/>
    </row>
    <row r="100" customFormat="false" ht="15.75" hidden="false" customHeight="true" outlineLevel="0" collapsed="false">
      <c r="A100" s="31" t="str">
        <f aca="false">"COMPUTED_VALUE"</f>
        <v>COMPUTED_VALUE</v>
      </c>
      <c r="B100" s="28"/>
      <c r="C100" s="28"/>
      <c r="D100" s="10"/>
      <c r="E100" s="10"/>
      <c r="F100" s="10"/>
      <c r="G100" s="10"/>
      <c r="H100" s="10"/>
      <c r="I100" s="10"/>
      <c r="J100" s="10"/>
      <c r="K100" s="10"/>
    </row>
    <row r="101" customFormat="false" ht="15.75" hidden="false" customHeight="true" outlineLevel="0" collapsed="false">
      <c r="A101" s="28"/>
      <c r="B101" s="28"/>
      <c r="C101" s="28"/>
      <c r="D101" s="10"/>
      <c r="E101" s="10"/>
      <c r="F101" s="10"/>
      <c r="G101" s="10"/>
      <c r="H101" s="10"/>
      <c r="I101" s="10"/>
      <c r="J101" s="10"/>
      <c r="K101" s="10"/>
    </row>
    <row r="102" customFormat="false" ht="15.75" hidden="false" customHeight="true" outlineLevel="0" collapsed="false">
      <c r="A102" s="32" t="str">
        <f aca="false">"COMPUTED_VALUE"</f>
        <v>COMPUTED_VALUE</v>
      </c>
      <c r="B102" s="32"/>
      <c r="C102" s="32"/>
      <c r="D102" s="10"/>
      <c r="E102" s="10"/>
      <c r="F102" s="10"/>
      <c r="G102" s="10"/>
      <c r="H102" s="10"/>
      <c r="I102" s="10"/>
      <c r="J102" s="10"/>
      <c r="K102" s="10"/>
    </row>
    <row r="103" customFormat="false" ht="15.75" hidden="false" customHeight="true" outlineLevel="0" collapsed="false">
      <c r="A103" s="33" t="str">
        <f aca="false">"COMPUTED_VALUE"</f>
        <v>COMPUTED_VALUE</v>
      </c>
      <c r="B103" s="34" t="str">
        <f aca="false">"COMPUTED_VALUE"</f>
        <v>COMPUTED_VALUE</v>
      </c>
      <c r="C103" s="33"/>
      <c r="D103" s="35"/>
      <c r="E103" s="35"/>
      <c r="F103" s="10"/>
      <c r="G103" s="10"/>
      <c r="H103" s="10"/>
      <c r="I103" s="10"/>
      <c r="J103" s="10"/>
      <c r="K103" s="10"/>
    </row>
    <row r="104" customFormat="false" ht="15.75" hidden="false" customHeight="true" outlineLevel="0" collapsed="false">
      <c r="A104" s="36" t="str">
        <f aca="false">"COMPUTED_VALUE"</f>
        <v>COMPUTED_VALUE</v>
      </c>
      <c r="B104" s="36"/>
      <c r="C104" s="36"/>
      <c r="D104" s="37"/>
      <c r="E104" s="37"/>
      <c r="F104" s="38"/>
      <c r="G104" s="38"/>
      <c r="H104" s="38"/>
      <c r="I104" s="38"/>
      <c r="J104" s="38"/>
      <c r="K104" s="38"/>
    </row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1">
    <mergeCell ref="A1:I1"/>
    <mergeCell ref="A2:K2"/>
    <mergeCell ref="A4:K4"/>
    <mergeCell ref="A5:E5"/>
    <mergeCell ref="F5:H5"/>
    <mergeCell ref="A9:K9"/>
    <mergeCell ref="A10:K10"/>
    <mergeCell ref="A12:K12"/>
    <mergeCell ref="A13:K13"/>
    <mergeCell ref="A14:K14"/>
    <mergeCell ref="A15:K15"/>
    <mergeCell ref="A16:K16"/>
    <mergeCell ref="A17:K17"/>
    <mergeCell ref="A19:K19"/>
    <mergeCell ref="A21:K21"/>
    <mergeCell ref="A22:K22"/>
    <mergeCell ref="A24:K24"/>
    <mergeCell ref="A28:K28"/>
    <mergeCell ref="A29:K29"/>
    <mergeCell ref="A31:K31"/>
    <mergeCell ref="B38:K38"/>
    <mergeCell ref="B39:K39"/>
    <mergeCell ref="B40:K40"/>
    <mergeCell ref="A54:E54"/>
    <mergeCell ref="G54:K54"/>
    <mergeCell ref="B55:C55"/>
    <mergeCell ref="D55:E55"/>
    <mergeCell ref="H55:K55"/>
    <mergeCell ref="B56:C56"/>
    <mergeCell ref="D56:E56"/>
    <mergeCell ref="H56:K56"/>
    <mergeCell ref="B57:C57"/>
    <mergeCell ref="D57:E57"/>
    <mergeCell ref="H57:K57"/>
    <mergeCell ref="A59:K59"/>
    <mergeCell ref="B60:C60"/>
    <mergeCell ref="D60:K60"/>
    <mergeCell ref="B61:C61"/>
    <mergeCell ref="D61:K61"/>
    <mergeCell ref="B62:C62"/>
    <mergeCell ref="D62:K62"/>
    <mergeCell ref="B63:C63"/>
    <mergeCell ref="D63:K63"/>
    <mergeCell ref="B64:C64"/>
    <mergeCell ref="D64:K64"/>
    <mergeCell ref="B66:C66"/>
    <mergeCell ref="D66:K66"/>
    <mergeCell ref="B67:C67"/>
    <mergeCell ref="D67:K67"/>
    <mergeCell ref="B68:C68"/>
    <mergeCell ref="D68:K68"/>
    <mergeCell ref="B69:C69"/>
    <mergeCell ref="D69:K69"/>
    <mergeCell ref="B70:C70"/>
    <mergeCell ref="D70:K70"/>
    <mergeCell ref="B71:C71"/>
    <mergeCell ref="D71:K71"/>
    <mergeCell ref="B72:C72"/>
    <mergeCell ref="D72:K72"/>
    <mergeCell ref="B73:C73"/>
    <mergeCell ref="D73:K73"/>
    <mergeCell ref="B74:C74"/>
    <mergeCell ref="D74:K74"/>
    <mergeCell ref="B75:C75"/>
    <mergeCell ref="D75:K75"/>
    <mergeCell ref="B76:C76"/>
    <mergeCell ref="D76:K76"/>
    <mergeCell ref="B77:C77"/>
    <mergeCell ref="D77:K77"/>
    <mergeCell ref="B78:C78"/>
    <mergeCell ref="D78:K78"/>
    <mergeCell ref="B79:C79"/>
    <mergeCell ref="D79:K79"/>
    <mergeCell ref="B80:C80"/>
    <mergeCell ref="D80:K80"/>
    <mergeCell ref="B81:C81"/>
    <mergeCell ref="D81:K81"/>
    <mergeCell ref="B82:C82"/>
    <mergeCell ref="D82:K82"/>
    <mergeCell ref="B83:C83"/>
    <mergeCell ref="D83:K83"/>
    <mergeCell ref="B84:C84"/>
    <mergeCell ref="D84:K84"/>
    <mergeCell ref="B85:C85"/>
    <mergeCell ref="D85:K85"/>
    <mergeCell ref="B86:C86"/>
    <mergeCell ref="D86:K86"/>
    <mergeCell ref="B87:C87"/>
    <mergeCell ref="D87:K87"/>
    <mergeCell ref="B88:C88"/>
    <mergeCell ref="D88:K88"/>
    <mergeCell ref="A90:K90"/>
    <mergeCell ref="A91:K91"/>
    <mergeCell ref="A92:K92"/>
    <mergeCell ref="A94:K94"/>
    <mergeCell ref="A95:K95"/>
    <mergeCell ref="A97:K97"/>
    <mergeCell ref="A98:K98"/>
    <mergeCell ref="B99:K99"/>
    <mergeCell ref="A102:C102"/>
    <mergeCell ref="A104:C10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P29" activeCellId="0" sqref="P2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17.38"/>
    <col collapsed="false" customWidth="true" hidden="false" outlineLevel="0" max="3" min="3" style="0" width="6.12"/>
    <col collapsed="false" customWidth="true" hidden="false" outlineLevel="0" max="7" min="4" style="0" width="7.88"/>
    <col collapsed="false" customWidth="true" hidden="false" outlineLevel="0" max="8" min="8" style="0" width="1.63"/>
    <col collapsed="false" customWidth="true" hidden="false" outlineLevel="0" max="9" min="9" style="0" width="19.25"/>
    <col collapsed="false" customWidth="true" hidden="false" outlineLevel="0" max="10" min="10" style="0" width="5.88"/>
    <col collapsed="false" customWidth="true" hidden="false" outlineLevel="0" max="14" min="11" style="0" width="7.75"/>
    <col collapsed="false" customWidth="true" hidden="false" outlineLevel="0" max="26" min="15" style="0" width="11.5"/>
  </cols>
  <sheetData>
    <row r="1" customFormat="false" ht="44.25" hidden="false" customHeight="true" outlineLevel="0" collapsed="false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 t="e">
        <f aca="false">image("http://wftda.com/wftda-logo.png", 4, 50, 50)</f>
        <v>#NAME?</v>
      </c>
      <c r="M1" s="41"/>
      <c r="N1" s="41" t="e">
        <f aca="false">image("http://wftda.com/mrda.jpg", 4, 50, 34)</f>
        <v>#NAME?</v>
      </c>
    </row>
    <row r="2" customFormat="false" ht="12" hidden="false" customHeight="true" outlineLevel="0" collapsed="false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10"/>
      <c r="M2" s="10"/>
      <c r="N2" s="43"/>
    </row>
    <row r="3" customFormat="false" ht="16.5" hidden="false" customHeight="true" outlineLevel="0" collapsed="false">
      <c r="A3" s="44" t="s">
        <v>1</v>
      </c>
      <c r="B3" s="44"/>
      <c r="C3" s="45" t="s">
        <v>2</v>
      </c>
      <c r="D3" s="45"/>
      <c r="E3" s="45"/>
      <c r="F3" s="45"/>
      <c r="G3" s="45"/>
      <c r="H3" s="45"/>
      <c r="I3" s="44" t="s">
        <v>3</v>
      </c>
      <c r="J3" s="46" t="n">
        <f aca="true">TODAY()</f>
        <v>46200</v>
      </c>
      <c r="K3" s="46"/>
      <c r="L3" s="47"/>
      <c r="M3" s="48"/>
      <c r="N3" s="49"/>
    </row>
    <row r="4" customFormat="false" ht="16.5" hidden="false" customHeight="true" outlineLevel="0" collapsed="false">
      <c r="A4" s="44" t="s">
        <v>4</v>
      </c>
      <c r="B4" s="44"/>
      <c r="C4" s="45" t="s">
        <v>5</v>
      </c>
      <c r="D4" s="45"/>
      <c r="E4" s="45"/>
      <c r="F4" s="45"/>
      <c r="G4" s="45"/>
      <c r="H4" s="45"/>
      <c r="I4" s="44" t="s">
        <v>6</v>
      </c>
      <c r="J4" s="46" t="n">
        <v>44807</v>
      </c>
      <c r="K4" s="46"/>
      <c r="L4" s="50"/>
      <c r="M4" s="51"/>
      <c r="N4" s="51"/>
    </row>
    <row r="5" customFormat="false" ht="16.5" hidden="false" customHeight="true" outlineLevel="0" collapsed="false">
      <c r="A5" s="44" t="s">
        <v>7</v>
      </c>
      <c r="B5" s="44"/>
      <c r="C5" s="52" t="s">
        <v>8</v>
      </c>
      <c r="D5" s="52"/>
      <c r="E5" s="52"/>
      <c r="F5" s="52"/>
      <c r="G5" s="52"/>
      <c r="H5" s="52"/>
      <c r="I5" s="52"/>
      <c r="J5" s="52"/>
      <c r="K5" s="52"/>
      <c r="L5" s="50"/>
      <c r="M5" s="17"/>
      <c r="N5" s="17"/>
    </row>
    <row r="6" customFormat="false" ht="16.5" hidden="false" customHeight="true" outlineLevel="0" collapsed="false">
      <c r="A6" s="44" t="s">
        <v>9</v>
      </c>
      <c r="B6" s="44"/>
      <c r="C6" s="52"/>
      <c r="D6" s="52"/>
      <c r="E6" s="52"/>
      <c r="F6" s="44" t="s">
        <v>10</v>
      </c>
      <c r="G6" s="44"/>
      <c r="H6" s="52" t="s">
        <v>11</v>
      </c>
      <c r="I6" s="52"/>
      <c r="J6" s="52"/>
      <c r="K6" s="52"/>
      <c r="L6" s="50"/>
      <c r="M6" s="48"/>
      <c r="N6" s="51"/>
    </row>
    <row r="7" customFormat="false" ht="16.5" hidden="false" customHeight="true" outlineLevel="0" collapsed="false">
      <c r="A7" s="44" t="s">
        <v>12</v>
      </c>
      <c r="B7" s="44"/>
      <c r="C7" s="52"/>
      <c r="D7" s="52"/>
      <c r="E7" s="44" t="s">
        <v>13</v>
      </c>
      <c r="F7" s="44"/>
      <c r="G7" s="53"/>
      <c r="H7" s="53"/>
      <c r="I7" s="53"/>
      <c r="J7" s="53"/>
      <c r="K7" s="53"/>
      <c r="L7" s="50"/>
      <c r="M7" s="48"/>
      <c r="N7" s="49"/>
    </row>
    <row r="8" customFormat="false" ht="16.5" hidden="false" customHeight="true" outlineLevel="0" collapsed="false">
      <c r="A8" s="54" t="s">
        <v>14</v>
      </c>
      <c r="B8" s="54"/>
      <c r="C8" s="52"/>
      <c r="D8" s="52"/>
      <c r="E8" s="54" t="s">
        <v>13</v>
      </c>
      <c r="F8" s="54"/>
      <c r="G8" s="55"/>
      <c r="H8" s="55"/>
      <c r="I8" s="55"/>
      <c r="J8" s="55"/>
      <c r="K8" s="55"/>
      <c r="L8" s="50"/>
      <c r="M8" s="43"/>
      <c r="N8" s="43"/>
    </row>
    <row r="9" customFormat="false" ht="9.75" hidden="false" customHeight="true" outlineLevel="0" collapsed="false">
      <c r="A9" s="56"/>
      <c r="B9" s="56"/>
      <c r="C9" s="56"/>
      <c r="D9" s="56"/>
      <c r="E9" s="56"/>
      <c r="F9" s="56"/>
      <c r="G9" s="57"/>
      <c r="H9" s="57"/>
      <c r="I9" s="56"/>
      <c r="J9" s="56"/>
      <c r="K9" s="56"/>
      <c r="L9" s="42"/>
      <c r="M9" s="58"/>
      <c r="N9" s="58"/>
    </row>
    <row r="10" customFormat="false" ht="18" hidden="false" customHeight="true" outlineLevel="0" collapsed="false">
      <c r="A10" s="59" t="s">
        <v>15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</row>
    <row r="11" customFormat="false" ht="18" hidden="false" customHeight="true" outlineLevel="0" collapsed="false">
      <c r="A11" s="44" t="s">
        <v>16</v>
      </c>
      <c r="B11" s="44"/>
      <c r="C11" s="60" t="s">
        <v>17</v>
      </c>
      <c r="D11" s="61" t="s">
        <v>18</v>
      </c>
      <c r="E11" s="61"/>
      <c r="F11" s="61"/>
      <c r="G11" s="61"/>
      <c r="H11" s="62"/>
      <c r="I11" s="54" t="s">
        <v>19</v>
      </c>
      <c r="J11" s="63" t="s">
        <v>17</v>
      </c>
      <c r="K11" s="64" t="s">
        <v>18</v>
      </c>
      <c r="L11" s="64"/>
      <c r="M11" s="64"/>
      <c r="N11" s="64"/>
    </row>
    <row r="12" customFormat="false" ht="28.5" hidden="false" customHeight="true" outlineLevel="0" collapsed="false">
      <c r="A12" s="44"/>
      <c r="B12" s="44"/>
      <c r="C12" s="60"/>
      <c r="D12" s="65" t="s">
        <v>20</v>
      </c>
      <c r="E12" s="66" t="s">
        <v>21</v>
      </c>
      <c r="F12" s="66" t="s">
        <v>22</v>
      </c>
      <c r="G12" s="66" t="s">
        <v>23</v>
      </c>
      <c r="H12" s="62"/>
      <c r="I12" s="54"/>
      <c r="J12" s="54"/>
      <c r="K12" s="67" t="s">
        <v>20</v>
      </c>
      <c r="L12" s="68" t="s">
        <v>21</v>
      </c>
      <c r="M12" s="68" t="s">
        <v>22</v>
      </c>
      <c r="N12" s="68" t="s">
        <v>23</v>
      </c>
    </row>
    <row r="13" customFormat="false" ht="15" hidden="false" customHeight="true" outlineLevel="0" collapsed="false">
      <c r="A13" s="69" t="s">
        <v>24</v>
      </c>
      <c r="B13" s="69"/>
      <c r="C13" s="70" t="s">
        <v>25</v>
      </c>
      <c r="D13" s="71" t="s">
        <v>26</v>
      </c>
      <c r="E13" s="72" t="n">
        <f aca="false">COUNTIFS('Game History'!$G:$G,"WFTDA",'Game History'!$H:$H,"Sanc", 'Game History'!$I:$I,$C13)</f>
        <v>0</v>
      </c>
      <c r="F13" s="72" t="n">
        <f aca="false">COUNTIFS('Game History'!$G:$G,"WFTDA",'Game History'!$H:$H,"Reg", 'Game History'!$I:$I,$C13)</f>
        <v>0</v>
      </c>
      <c r="G13" s="72" t="n">
        <f aca="false">COUNTIFS('Game History'!$G:$G,"WFTDA",'Game History'!$H:$H,"Other", 'Game History'!$I:$I,$C13)</f>
        <v>0</v>
      </c>
      <c r="H13" s="62"/>
      <c r="I13" s="73" t="s">
        <v>27</v>
      </c>
      <c r="J13" s="70" t="s">
        <v>28</v>
      </c>
      <c r="K13" s="72" t="s">
        <v>26</v>
      </c>
      <c r="L13" s="72" t="n">
        <f aca="false">COUNTIFS('Game History'!$G:$G,"WFTDA",'Game History'!$H:$H,"Sanc", 'Game History'!$I:$I,$J13)</f>
        <v>0</v>
      </c>
      <c r="M13" s="72" t="n">
        <f aca="false">COUNTIFS('Game History'!$G:$G,"WFTDA",'Game History'!$H:$H,"Reg", 'Game History'!$I:$I,$J13)</f>
        <v>0</v>
      </c>
      <c r="N13" s="72" t="n">
        <f aca="false">COUNTIFS('Game History'!$G:$G,"WFTDA",'Game History'!$H:$H,"Other", 'Game History'!$I:$I,$J13)</f>
        <v>0</v>
      </c>
    </row>
    <row r="14" customFormat="false" ht="15" hidden="false" customHeight="true" outlineLevel="0" collapsed="false">
      <c r="A14" s="69" t="s">
        <v>29</v>
      </c>
      <c r="B14" s="69"/>
      <c r="C14" s="70" t="s">
        <v>30</v>
      </c>
      <c r="D14" s="72" t="n">
        <f aca="false">COUNTIFS('Game History'!$G:$G,"WFTDA",'Game History'!$H:$H,"Playoff", 'Game History'!$I:$I,$C14)</f>
        <v>0</v>
      </c>
      <c r="E14" s="72" t="n">
        <f aca="false">COUNTIFS('Game History'!$G:$G,"WFTDA",'Game History'!$H:$H,"Sanc", 'Game History'!$I:$I,$C14)</f>
        <v>2</v>
      </c>
      <c r="F14" s="72" t="n">
        <f aca="false">COUNTIFS('Game History'!$G:$G,"WFTDA",'Game History'!$H:$H,"Reg", 'Game History'!$I:$I,$C14)</f>
        <v>5</v>
      </c>
      <c r="G14" s="72" t="n">
        <f aca="false">COUNTIFS('Game History'!$G:$G,"WFTDA",'Game History'!$H:$H,"Other", 'Game History'!$I:$I,$C14)</f>
        <v>4</v>
      </c>
      <c r="H14" s="62"/>
      <c r="I14" s="74" t="s">
        <v>31</v>
      </c>
      <c r="J14" s="70" t="s">
        <v>32</v>
      </c>
      <c r="K14" s="72" t="n">
        <f aca="false">COUNTIFS('Game History'!$G:$G,"WFTDA",'Game History'!$H:$H,"Playoff", 'Game History'!$I:$I,$J14)</f>
        <v>0</v>
      </c>
      <c r="L14" s="72" t="n">
        <f aca="false">COUNTIFS('Game History'!$G:$G,"WFTDA",'Game History'!$H:$H,"Sanc", 'Game History'!$I:$I,$J14)</f>
        <v>0</v>
      </c>
      <c r="M14" s="72" t="n">
        <f aca="false">COUNTIFS('Game History'!$G:$G,"WFTDA",'Game History'!$H:$H,"Reg", 'Game History'!$I:$I,$J14)</f>
        <v>2</v>
      </c>
      <c r="N14" s="72" t="n">
        <f aca="false">COUNTIFS('Game History'!$G:$G,"WFTDA",'Game History'!$H:$H,"Other", 'Game History'!$I:$I,$J14)</f>
        <v>2</v>
      </c>
    </row>
    <row r="15" customFormat="false" ht="15" hidden="false" customHeight="true" outlineLevel="0" collapsed="false">
      <c r="A15" s="69" t="s">
        <v>33</v>
      </c>
      <c r="B15" s="75"/>
      <c r="C15" s="70" t="s">
        <v>34</v>
      </c>
      <c r="D15" s="72" t="n">
        <f aca="false">COUNTIFS('Game History'!$G:$G,"WFTDA",'Game History'!$H:$H,"Playoff", 'Game History'!$I:$I,$C15)</f>
        <v>0</v>
      </c>
      <c r="E15" s="72" t="n">
        <f aca="false">COUNTIFS('Game History'!$G:$G,"WFTDA",'Game History'!$H:$H,"Sanc", 'Game History'!$I:$I,$C15)</f>
        <v>0</v>
      </c>
      <c r="F15" s="72" t="n">
        <f aca="false">COUNTIFS('Game History'!$G:$G,"WFTDA",'Game History'!$H:$H,"Reg", 'Game History'!$I:$I,$C15)</f>
        <v>0</v>
      </c>
      <c r="G15" s="72" t="n">
        <f aca="false">COUNTIFS('Game History'!$G:$G,"WFTDA",'Game History'!$H:$H,"Other", 'Game History'!$I:$I,$C15)</f>
        <v>1</v>
      </c>
      <c r="H15" s="62"/>
      <c r="I15" s="76" t="s">
        <v>35</v>
      </c>
      <c r="J15" s="70" t="s">
        <v>36</v>
      </c>
      <c r="K15" s="72" t="n">
        <f aca="false">COUNTIFS('Game History'!$G:$G,"WFTDA",'Game History'!$H:$H,"Playoff", 'Game History'!$I:$I,$J15)</f>
        <v>0</v>
      </c>
      <c r="L15" s="72" t="n">
        <f aca="false">COUNTIFS('Game History'!$G:$G,"WFTDA",'Game History'!$H:$H,"Sanc", 'Game History'!$I:$I,$J15)</f>
        <v>0</v>
      </c>
      <c r="M15" s="72" t="n">
        <f aca="false">COUNTIFS('Game History'!$G:$G,"WFTDA",'Game History'!$H:$H,"Reg", 'Game History'!$I:$I,$J15)</f>
        <v>0</v>
      </c>
      <c r="N15" s="72" t="n">
        <f aca="false">COUNTIFS('Game History'!$G:$G,"WFTDA",'Game History'!$H:$H,"Other", 'Game History'!$I:$I,$J15)</f>
        <v>0</v>
      </c>
    </row>
    <row r="16" customFormat="false" ht="15" hidden="false" customHeight="true" outlineLevel="0" collapsed="false">
      <c r="A16" s="69" t="s">
        <v>37</v>
      </c>
      <c r="B16" s="69"/>
      <c r="C16" s="70" t="s">
        <v>38</v>
      </c>
      <c r="D16" s="72" t="n">
        <f aca="false">COUNTIFS('Game History'!$G:$G,"WFTDA",'Game History'!$H:$H,"Playoff", 'Game History'!$I:$I,$C16)</f>
        <v>2</v>
      </c>
      <c r="E16" s="72" t="n">
        <f aca="false">COUNTIFS('Game History'!$G:$G,"WFTDA",'Game History'!$H:$H,"Sanc", 'Game History'!$I:$I,$C16)</f>
        <v>5</v>
      </c>
      <c r="F16" s="72" t="n">
        <f aca="false">COUNTIFS('Game History'!$G:$G,"WFTDA",'Game History'!$H:$H,"Reg", 'Game History'!$I:$I,$C16)</f>
        <v>16</v>
      </c>
      <c r="G16" s="72" t="n">
        <f aca="false">COUNTIFS('Game History'!$G:$G,"WFTDA",'Game History'!$H:$H,"Other", 'Game History'!$I:$I,$C16)</f>
        <v>4</v>
      </c>
      <c r="H16" s="62"/>
      <c r="I16" s="76" t="s">
        <v>39</v>
      </c>
      <c r="J16" s="70" t="s">
        <v>40</v>
      </c>
      <c r="K16" s="72" t="n">
        <f aca="false">COUNTIFS('Game History'!$G:$G,"WFTDA",'Game History'!$H:$H,"Playoff", 'Game History'!$I:$I,$J16)</f>
        <v>0</v>
      </c>
      <c r="L16" s="72" t="n">
        <f aca="false">COUNTIFS('Game History'!$G:$G,"WFTDA",'Game History'!$H:$H,"Sanc", 'Game History'!$I:$I,$J16)</f>
        <v>0</v>
      </c>
      <c r="M16" s="72" t="n">
        <f aca="false">COUNTIFS('Game History'!$G:$G,"WFTDA",'Game History'!$H:$H,"Reg", 'Game History'!$I:$I,$J16)</f>
        <v>0</v>
      </c>
      <c r="N16" s="72" t="n">
        <f aca="false">COUNTIFS('Game History'!$G:$G,"WFTDA",'Game History'!$H:$H,"Other", 'Game History'!$I:$I,$J16)</f>
        <v>0</v>
      </c>
    </row>
    <row r="17" customFormat="false" ht="15" hidden="false" customHeight="true" outlineLevel="0" collapsed="false">
      <c r="A17" s="69" t="s">
        <v>41</v>
      </c>
      <c r="B17" s="69"/>
      <c r="C17" s="70" t="s">
        <v>42</v>
      </c>
      <c r="D17" s="72" t="n">
        <f aca="false">COUNTIFS('Game History'!$G:$G,"WFTDA",'Game History'!$H:$H,"Playoff", 'Game History'!$I:$I,$C17)</f>
        <v>0</v>
      </c>
      <c r="E17" s="72" t="n">
        <f aca="false">COUNTIFS('Game History'!$G:$G,"WFTDA",'Game History'!$H:$H,"Sanc", 'Game History'!$I:$I,$C17)</f>
        <v>0</v>
      </c>
      <c r="F17" s="72" t="n">
        <f aca="false">COUNTIFS('Game History'!$G:$G,"WFTDA",'Game History'!$H:$H,"Reg", 'Game History'!$I:$I,$C17)</f>
        <v>1</v>
      </c>
      <c r="G17" s="72" t="n">
        <f aca="false">COUNTIFS('Game History'!$G:$G,"WFTDA",'Game History'!$H:$H,"Other", 'Game History'!$I:$I,$C17)</f>
        <v>1</v>
      </c>
      <c r="H17" s="62"/>
      <c r="I17" s="76" t="s">
        <v>43</v>
      </c>
      <c r="J17" s="70" t="s">
        <v>44</v>
      </c>
      <c r="K17" s="72" t="n">
        <f aca="false">COUNTIFS('Game History'!$G:$G,"WFTDA",'Game History'!$H:$H,"Playoff", 'Game History'!$I:$I,$J17)</f>
        <v>0</v>
      </c>
      <c r="L17" s="72" t="n">
        <f aca="false">COUNTIFS('Game History'!$G:$G,"WFTDA",'Game History'!$H:$H,"Sanc", 'Game History'!$I:$I,$J17)</f>
        <v>0</v>
      </c>
      <c r="M17" s="72" t="n">
        <f aca="false">COUNTIFS('Game History'!$G:$G,"WFTDA",'Game History'!$H:$H,"Reg", 'Game History'!$I:$I,$J17)</f>
        <v>0</v>
      </c>
      <c r="N17" s="72" t="n">
        <f aca="false">COUNTIFS('Game History'!$G:$G,"WFTDA",'Game History'!$H:$H,"Other", 'Game History'!$I:$I,$J17)</f>
        <v>0</v>
      </c>
    </row>
    <row r="18" customFormat="false" ht="15" hidden="false" customHeight="true" outlineLevel="0" collapsed="false">
      <c r="A18" s="77" t="s">
        <v>45</v>
      </c>
      <c r="B18" s="77"/>
      <c r="C18" s="77"/>
      <c r="D18" s="78" t="n">
        <f aca="false">SUM(D14:D17)</f>
        <v>2</v>
      </c>
      <c r="E18" s="78" t="n">
        <f aca="false">SUM(E13:E17)</f>
        <v>7</v>
      </c>
      <c r="F18" s="78" t="n">
        <f aca="false">SUM(F13:F17)</f>
        <v>22</v>
      </c>
      <c r="G18" s="78" t="n">
        <f aca="false">SUM(G13:G17)</f>
        <v>10</v>
      </c>
      <c r="H18" s="62"/>
      <c r="I18" s="76" t="s">
        <v>46</v>
      </c>
      <c r="J18" s="70" t="s">
        <v>47</v>
      </c>
      <c r="K18" s="72" t="n">
        <f aca="false">COUNTIFS('Game History'!$G:$G,"WFTDA",'Game History'!$H:$H,"Playoff", 'Game History'!$I:$I,$J18)</f>
        <v>0</v>
      </c>
      <c r="L18" s="72" t="n">
        <f aca="false">COUNTIFS('Game History'!$G:$G,"WFTDA",'Game History'!$H:$H,"Sanc", 'Game History'!$I:$I,$J18)</f>
        <v>0</v>
      </c>
      <c r="M18" s="72" t="n">
        <f aca="false">COUNTIFS('Game History'!$G:$G,"WFTDA",'Game History'!$H:$H,"Reg", 'Game History'!$I:$I,$J18)</f>
        <v>5</v>
      </c>
      <c r="N18" s="72" t="n">
        <f aca="false">COUNTIFS('Game History'!$G:$G,"WFTDA",'Game History'!$H:$H,"Other", 'Game History'!$I:$I,$J18)</f>
        <v>0</v>
      </c>
    </row>
    <row r="19" customFormat="false" ht="15" hidden="false" customHeight="true" outlineLevel="0" collapsed="false">
      <c r="A19" s="56"/>
      <c r="B19" s="56"/>
      <c r="C19" s="79"/>
      <c r="D19" s="56"/>
      <c r="E19" s="56"/>
      <c r="F19" s="56"/>
      <c r="G19" s="56"/>
      <c r="H19" s="80"/>
      <c r="I19" s="76" t="s">
        <v>48</v>
      </c>
      <c r="J19" s="70" t="s">
        <v>49</v>
      </c>
      <c r="K19" s="72" t="n">
        <f aca="false">COUNTIFS('Game History'!$G:$G,"WFTDA",'Game History'!$H:$H,"Playoff", 'Game History'!$I:$I,$J19)</f>
        <v>0</v>
      </c>
      <c r="L19" s="72" t="n">
        <f aca="false">COUNTIFS('Game History'!$G:$G,"WFTDA",'Game History'!$H:$H,"Sanc", 'Game History'!$I:$I,$J19)</f>
        <v>1</v>
      </c>
      <c r="M19" s="72" t="n">
        <f aca="false">COUNTIFS('Game History'!$G:$G,"WFTDA",'Game History'!$H:$H,"Reg", 'Game History'!$I:$I,$J19)</f>
        <v>4</v>
      </c>
      <c r="N19" s="72" t="n">
        <f aca="false">COUNTIFS('Game History'!$G:$G,"WFTDA",'Game History'!$H:$H,"Other", 'Game History'!$I:$I,$J19)</f>
        <v>2</v>
      </c>
    </row>
    <row r="20" customFormat="false" ht="15" hidden="false" customHeight="true" outlineLevel="0" collapsed="false">
      <c r="A20" s="69" t="s">
        <v>50</v>
      </c>
      <c r="B20" s="69"/>
      <c r="C20" s="70" t="s">
        <v>51</v>
      </c>
      <c r="D20" s="81" t="n">
        <f aca="false">COUNTIFS('Game History'!G:G,"WFTDA",'Game History'!H:H,"Champs",'Game History'!I:I,Instructions!A68)+COUNTIFS('Game History'!G:G,"WFTDA",'Game History'!H:H,"Playoff",'Game History'!I:I,Instructions!A68)</f>
        <v>0</v>
      </c>
      <c r="E20" s="81" t="n">
        <f aca="false">COUNTIFS('Game History'!G:G,"WFTDA",'Game History'!H:H,"Sanc",'Game History'!I:I,Instructions!A68)</f>
        <v>0</v>
      </c>
      <c r="F20" s="81" t="n">
        <f aca="false">COUNTIFS('Game History'!G:G,"WFTDA",'Game History'!H:H,"Reg",'Game History'!I:I,Instructions!A68)</f>
        <v>0</v>
      </c>
      <c r="G20" s="81" t="n">
        <f aca="false">COUNTIFS('Game History'!G:G,"WFTDA",'Game History'!H:H,"Other",'Game History'!I:I,Instructions!A68)</f>
        <v>0</v>
      </c>
      <c r="H20" s="62"/>
      <c r="I20" s="76" t="s">
        <v>52</v>
      </c>
      <c r="J20" s="70" t="s">
        <v>53</v>
      </c>
      <c r="K20" s="72" t="n">
        <f aca="false">COUNTIFS('Game History'!$G:$G,"WFTDA",'Game History'!$H:$H,"Playoff", 'Game History'!$I:$I,$J20)</f>
        <v>2</v>
      </c>
      <c r="L20" s="72" t="n">
        <f aca="false">COUNTIFS('Game History'!$G:$G,"WFTDA",'Game History'!$H:$H,"Sanc", 'Game History'!$I:$I,$J20)</f>
        <v>1</v>
      </c>
      <c r="M20" s="72" t="n">
        <f aca="false">COUNTIFS('Game History'!$G:$G,"WFTDA",'Game History'!$H:$H,"Reg", 'Game History'!$I:$I,$J20)</f>
        <v>7</v>
      </c>
      <c r="N20" s="72" t="n">
        <f aca="false">COUNTIFS('Game History'!$G:$G,"WFTDA",'Game History'!$H:$H,"Other", 'Game History'!$I:$I,$J20)</f>
        <v>2</v>
      </c>
    </row>
    <row r="21" customFormat="false" ht="15" hidden="false" customHeight="true" outlineLevel="0" collapsed="false">
      <c r="A21" s="69" t="s">
        <v>54</v>
      </c>
      <c r="B21" s="69"/>
      <c r="C21" s="70" t="s">
        <v>55</v>
      </c>
      <c r="D21" s="81" t="n">
        <f aca="false">COUNTIFS('Game History'!G:G,"WFTDA",'Game History'!H:H,"Champs",'Game History'!I:I,Instructions!A69)+COUNTIFS('Game History'!G:G,"WFTDA",'Game History'!H:H,"Playoff",'Game History'!I:I,Instructions!A69)+COUNTIFS('Game History'!G:G,"WFTDA",'Game History'!H:H,"Champs",'Game History'!I:I,Instructions!A70)+COUNTIFS('Game History'!G:G,"WFTDA",'Game History'!H:H,"Playoff",'Game History'!I:I,Instructions!A70)</f>
        <v>0</v>
      </c>
      <c r="E21" s="81" t="n">
        <f aca="false">COUNTIFS('Game History'!G:G,"WFTDA",'Game History'!H:H,"Sanc",'Game History'!I:I,Instructions!A69)</f>
        <v>0</v>
      </c>
      <c r="F21" s="81" t="n">
        <f aca="false">COUNTIFS('Game History'!G:G,"WFTDA",'Game History'!H:H,"Reg",'Game History'!I:I,Instructions!A69)</f>
        <v>0</v>
      </c>
      <c r="G21" s="81" t="n">
        <f aca="false">COUNTIFS('Game History'!G:G,"WFTDA",'Game History'!H:H,"Other",'Game History'!I:I,Instructions!A69)</f>
        <v>0</v>
      </c>
      <c r="H21" s="62"/>
      <c r="I21" s="76" t="s">
        <v>56</v>
      </c>
      <c r="J21" s="70" t="s">
        <v>57</v>
      </c>
      <c r="K21" s="72" t="n">
        <f aca="false">COUNTIFS('Game History'!$G:$G,"WFTDA",'Game History'!$H:$H,"Playoff", 'Game History'!$I:$I,$J21)</f>
        <v>0</v>
      </c>
      <c r="L21" s="72" t="n">
        <f aca="false">COUNTIFS('Game History'!$G:$G,"WFTDA",'Game History'!$H:$H,"Sanc", 'Game History'!$I:$I,$J21)</f>
        <v>0</v>
      </c>
      <c r="M21" s="72" t="n">
        <f aca="false">COUNTIFS('Game History'!$G:$G,"WFTDA",'Game History'!$H:$H,"Reg", 'Game History'!$I:$I,$J21)</f>
        <v>3</v>
      </c>
      <c r="N21" s="72" t="n">
        <f aca="false">COUNTIFS('Game History'!$G:$G,"WFTDA",'Game History'!$H:$H,"Other", 'Game History'!$I:$I,$J21)</f>
        <v>0</v>
      </c>
    </row>
    <row r="22" customFormat="false" ht="15" hidden="false" customHeight="true" outlineLevel="0" collapsed="false">
      <c r="A22" s="82" t="s">
        <v>58</v>
      </c>
      <c r="B22" s="82"/>
      <c r="C22" s="83" t="s">
        <v>59</v>
      </c>
      <c r="D22" s="81" t="n">
        <f aca="false">COUNTIFS('Game History'!G:G,"WFTDA",'Game History'!H:H,"Champs",'Game History'!I:I,Instructions!A67)+COUNTIFS('Game History'!G:G,"WFTDA",'Game History'!H:H,"Playoff",'Game History'!I:I,Instructions!A67)</f>
        <v>0</v>
      </c>
      <c r="E22" s="81" t="n">
        <f aca="false">COUNTIFS('Game History'!G:G,"WFTDA",'Game History'!H:H,"Sanc",'Game History'!I:I,Instructions!A67)</f>
        <v>0</v>
      </c>
      <c r="F22" s="81" t="n">
        <f aca="false">COUNTIFS('Game History'!G:G,"WFTDA",'Game History'!H:H,"Reg",'Game History'!I:I,Instructions!A67)</f>
        <v>0</v>
      </c>
      <c r="G22" s="81" t="n">
        <f aca="false">COUNTIFS('Game History'!G:G,"WFTDA",'Game History'!H:H,"Other",'Game History'!I:I,Instructions!A67)</f>
        <v>0</v>
      </c>
      <c r="H22" s="62"/>
      <c r="I22" s="76" t="s">
        <v>60</v>
      </c>
      <c r="J22" s="70" t="s">
        <v>61</v>
      </c>
      <c r="K22" s="72" t="n">
        <f aca="false">COUNTIFS('Game History'!$G:$G,"WFTDA",'Game History'!$H:$H,"Playoff", 'Game History'!$I:$I,$J22)</f>
        <v>0</v>
      </c>
      <c r="L22" s="72" t="n">
        <f aca="false">COUNTIFS('Game History'!$G:$G,"WFTDA",'Game History'!$H:$H,"Sanc", 'Game History'!$I:$I,$J22)</f>
        <v>0</v>
      </c>
      <c r="M22" s="72" t="n">
        <f aca="false">COUNTIFS('Game History'!$G:$G,"WFTDA",'Game History'!$H:$H,"Reg", 'Game History'!$I:$I,$J22)</f>
        <v>10</v>
      </c>
      <c r="N22" s="72" t="n">
        <f aca="false">COUNTIFS('Game History'!$G:$G,"WFTDA",'Game History'!$H:$H,"Other", 'Game History'!$I:$I,$J22)</f>
        <v>1</v>
      </c>
    </row>
    <row r="23" customFormat="false" ht="15" hidden="false" customHeight="true" outlineLevel="0" collapsed="false">
      <c r="A23" s="84" t="s">
        <v>62</v>
      </c>
      <c r="B23" s="84"/>
      <c r="C23" s="70" t="s">
        <v>63</v>
      </c>
      <c r="D23" s="81" t="n">
        <f aca="false">COUNTIFS('Game History'!G:G,"WFTDA",'Game History'!H:H,"Champs",'Game History'!I:I,Instructions!A71)+COUNTIFS('Game History'!G:G,"WFTDA",'Game History'!H:H,"Playoff",'Game History'!I:I,Instructions!A71)</f>
        <v>0</v>
      </c>
      <c r="E23" s="81" t="n">
        <f aca="false">COUNTIFS('Game History'!G:G,"WFTDA",'Game History'!H:H,"Sanc",'Game History'!I:I,Instructions!A71)</f>
        <v>0</v>
      </c>
      <c r="F23" s="81" t="n">
        <f aca="false">COUNTIFS('Game History'!G:G,"WFTDA",'Game History'!H:H,"Reg",'Game History'!I:I,Instructions!A71)</f>
        <v>0</v>
      </c>
      <c r="G23" s="81" t="n">
        <f aca="false">COUNTIFS('Game History'!G:G,"WFTDA",'Game History'!H:H,"Other",'Game History'!I:I,Instructions!A71)</f>
        <v>0</v>
      </c>
      <c r="H23" s="62"/>
      <c r="I23" s="76" t="s">
        <v>64</v>
      </c>
      <c r="J23" s="70" t="s">
        <v>65</v>
      </c>
      <c r="K23" s="72" t="n">
        <f aca="false">COUNTIFS('Game History'!$G:$G,"WFTDA",'Game History'!$H:$H,"Playoff", 'Game History'!$I:$I,$J23)</f>
        <v>0</v>
      </c>
      <c r="L23" s="72" t="n">
        <f aca="false">COUNTIFS('Game History'!$G:$G,"WFTDA",'Game History'!$H:$H,"Sanc", 'Game History'!$I:$I,$J23)</f>
        <v>0</v>
      </c>
      <c r="M23" s="72" t="n">
        <f aca="false">COUNTIFS('Game History'!$G:$G,"WFTDA",'Game History'!$H:$H,"Reg", 'Game History'!$I:$I,$J23)</f>
        <v>1</v>
      </c>
      <c r="N23" s="72" t="n">
        <f aca="false">COUNTIFS('Game History'!$G:$G,"WFTDA",'Game History'!$H:$H,"Other", 'Game History'!$I:$I,$J23)</f>
        <v>0</v>
      </c>
    </row>
    <row r="24" customFormat="false" ht="15" hidden="false" customHeight="true" outlineLevel="0" collapsed="false">
      <c r="A24" s="84" t="s">
        <v>66</v>
      </c>
      <c r="B24" s="84"/>
      <c r="C24" s="70" t="s">
        <v>67</v>
      </c>
      <c r="D24" s="81" t="n">
        <f aca="false">COUNTIFS('Game History'!G:G,"WFTDA",'Game History'!H:H,"Champs",'Game History'!I:I,Instructions!A72)+COUNTIFS('Game History'!G:G,"WFTDA",'Game History'!H:H,"Playoff",'Game History'!I:I,Instructions!A72)+COUNTIFS('Game History'!G:G,"WFTDA",'Game History'!H:H,"Champs",'Game History'!I:I,Instructions!A73)+COUNTIFS('Game History'!G:G,"WFTDA",'Game History'!H:H,"Playoff",'Game History'!I:I,Instructions!A73)</f>
        <v>0</v>
      </c>
      <c r="E24" s="81" t="n">
        <f aca="false">COUNTIFS('Game History'!G:G,"WFTDA",'Game History'!H:H,"Sanc",'Game History'!I:I,Instructions!A72)</f>
        <v>0</v>
      </c>
      <c r="F24" s="81" t="n">
        <f aca="false">COUNTIFS('Game History'!G:G,"WFTDA",'Game History'!H:H,"Reg",'Game History'!I:I,Instructions!A72)</f>
        <v>0</v>
      </c>
      <c r="G24" s="81" t="n">
        <f aca="false">COUNTIFS('Game History'!G:G,"WFTDA",'Game History'!H:H,"Other",'Game History'!I:I,Instructions!A72)</f>
        <v>0</v>
      </c>
      <c r="H24" s="62"/>
      <c r="I24" s="76" t="s">
        <v>68</v>
      </c>
      <c r="J24" s="70" t="s">
        <v>69</v>
      </c>
      <c r="K24" s="72" t="n">
        <f aca="false">COUNTIFS('Game History'!$G:$G,"WFTDA",'Game History'!$H:$H,"Playoff", 'Game History'!$I:$I,$J24)</f>
        <v>0</v>
      </c>
      <c r="L24" s="72" t="n">
        <f aca="false">COUNTIFS('Game History'!$G:$G,"WFTDA",'Game History'!$H:$H,"Sanc", 'Game History'!$I:$I,$J24)</f>
        <v>0</v>
      </c>
      <c r="M24" s="72" t="n">
        <f aca="false">COUNTIFS('Game History'!$G:$G,"WFTDA",'Game History'!$H:$H,"Reg", 'Game History'!$I:$I,$J24)</f>
        <v>0</v>
      </c>
      <c r="N24" s="72" t="n">
        <f aca="false">COUNTIFS('Game History'!$G:$G,"WFTDA",'Game History'!$H:$H,"Other", 'Game History'!$I:$I,$J24)</f>
        <v>0</v>
      </c>
    </row>
    <row r="25" customFormat="false" ht="15" hidden="false" customHeight="true" outlineLevel="0" collapsed="false">
      <c r="A25" s="85"/>
      <c r="B25" s="56"/>
      <c r="C25" s="56"/>
      <c r="D25" s="56"/>
      <c r="E25" s="56"/>
      <c r="F25" s="56"/>
      <c r="G25" s="56"/>
      <c r="H25" s="80"/>
      <c r="I25" s="86" t="s">
        <v>70</v>
      </c>
      <c r="J25" s="86"/>
      <c r="K25" s="87" t="n">
        <f aca="false">SUM(K14:K24)</f>
        <v>2</v>
      </c>
      <c r="L25" s="87" t="n">
        <f aca="false">SUM(L13:L24)</f>
        <v>2</v>
      </c>
      <c r="M25" s="87" t="n">
        <f aca="false">SUM(M13:M24)</f>
        <v>32</v>
      </c>
      <c r="N25" s="87" t="n">
        <f aca="false">SUM(N13:N24)</f>
        <v>7</v>
      </c>
    </row>
    <row r="26" customFormat="false" ht="15.75" hidden="false" customHeight="true" outlineLevel="0" collapsed="false">
      <c r="A26" s="84" t="s">
        <v>71</v>
      </c>
      <c r="B26" s="84"/>
      <c r="C26" s="84"/>
      <c r="D26" s="84"/>
      <c r="E26" s="84"/>
      <c r="F26" s="84"/>
      <c r="G26" s="84"/>
      <c r="H26" s="62"/>
      <c r="I26" s="88" t="s">
        <v>72</v>
      </c>
      <c r="J26" s="88"/>
      <c r="K26" s="88"/>
      <c r="L26" s="88"/>
      <c r="M26" s="89" t="n">
        <f aca="false">COUNTIFS('Game History'!G:G,"WFTDA",'Game History'!K:K,"Y")</f>
        <v>0</v>
      </c>
      <c r="N26" s="89"/>
    </row>
    <row r="27" customFormat="false" ht="1.5" hidden="false" customHeight="true" outlineLevel="0" collapsed="false">
      <c r="A27" s="90" t="s">
        <v>73</v>
      </c>
      <c r="B27" s="91" t="s">
        <v>74</v>
      </c>
      <c r="C27" s="91" t="s">
        <v>75</v>
      </c>
      <c r="D27" s="90" t="s">
        <v>73</v>
      </c>
      <c r="E27" s="92" t="s">
        <v>74</v>
      </c>
      <c r="F27" s="92"/>
      <c r="G27" s="91" t="s">
        <v>75</v>
      </c>
      <c r="H27" s="47"/>
      <c r="I27" s="56"/>
      <c r="J27" s="56"/>
      <c r="K27" s="56"/>
      <c r="L27" s="56"/>
      <c r="M27" s="93"/>
      <c r="N27" s="56"/>
    </row>
    <row r="28" customFormat="false" ht="15.75" hidden="false" customHeight="true" outlineLevel="0" collapsed="false">
      <c r="A28" s="94"/>
      <c r="B28" s="94"/>
      <c r="C28" s="94"/>
      <c r="D28" s="95"/>
      <c r="E28" s="95"/>
      <c r="F28" s="95"/>
      <c r="G28" s="94"/>
      <c r="H28" s="62"/>
      <c r="I28" s="96" t="s">
        <v>76</v>
      </c>
      <c r="J28" s="96"/>
      <c r="K28" s="97" t="s">
        <v>77</v>
      </c>
      <c r="L28" s="97"/>
      <c r="M28" s="97" t="s">
        <v>78</v>
      </c>
      <c r="N28" s="97"/>
    </row>
    <row r="29" customFormat="false" ht="16.5" hidden="false" customHeight="true" outlineLevel="0" collapsed="false">
      <c r="A29" s="94"/>
      <c r="B29" s="94"/>
      <c r="C29" s="94"/>
      <c r="D29" s="95"/>
      <c r="E29" s="95"/>
      <c r="F29" s="95"/>
      <c r="G29" s="94"/>
      <c r="H29" s="62"/>
      <c r="I29" s="96"/>
      <c r="J29" s="96"/>
      <c r="K29" s="97" t="s">
        <v>79</v>
      </c>
      <c r="L29" s="97" t="s">
        <v>80</v>
      </c>
      <c r="M29" s="97" t="s">
        <v>79</v>
      </c>
      <c r="N29" s="97" t="s">
        <v>80</v>
      </c>
    </row>
    <row r="30" customFormat="false" ht="15.75" hidden="false" customHeight="true" outlineLevel="0" collapsed="false">
      <c r="A30" s="72"/>
      <c r="B30" s="72"/>
      <c r="C30" s="72"/>
      <c r="D30" s="98"/>
      <c r="E30" s="98"/>
      <c r="F30" s="98"/>
      <c r="G30" s="72"/>
      <c r="H30" s="62"/>
      <c r="I30" s="96"/>
      <c r="J30" s="96"/>
      <c r="K30" s="81" t="n">
        <f aca="false">SUM(D18:F18)</f>
        <v>31</v>
      </c>
      <c r="L30" s="81" t="n">
        <f aca="false">SUM(K25:M25)</f>
        <v>36</v>
      </c>
      <c r="M30" s="72" t="n">
        <f aca="false">SUM(D18:G18)</f>
        <v>41</v>
      </c>
      <c r="N30" s="72" t="n">
        <f aca="false">SUM(K25:N25)</f>
        <v>43</v>
      </c>
    </row>
    <row r="31" customFormat="false" ht="16.5" hidden="false" customHeight="true" outlineLevel="0" collapsed="false">
      <c r="A31" s="99"/>
      <c r="B31" s="99"/>
      <c r="C31" s="99"/>
      <c r="D31" s="99"/>
      <c r="E31" s="99"/>
      <c r="F31" s="99"/>
      <c r="G31" s="100"/>
      <c r="H31" s="100"/>
      <c r="I31" s="99"/>
      <c r="J31" s="99"/>
      <c r="K31" s="99"/>
      <c r="L31" s="10"/>
      <c r="M31" s="43"/>
      <c r="N31" s="43"/>
    </row>
    <row r="32" customFormat="false" ht="13.5" hidden="false" customHeight="true" outlineLevel="0" collapsed="false">
      <c r="A32" s="42"/>
      <c r="B32" s="42"/>
      <c r="C32" s="42"/>
      <c r="D32" s="42"/>
      <c r="E32" s="42"/>
      <c r="F32" s="42"/>
      <c r="G32" s="101"/>
      <c r="H32" s="101"/>
      <c r="I32" s="42"/>
      <c r="J32" s="42"/>
      <c r="K32" s="42"/>
      <c r="L32" s="42"/>
      <c r="M32" s="58"/>
      <c r="N32" s="58"/>
    </row>
    <row r="33" customFormat="false" ht="18" hidden="false" customHeight="true" outlineLevel="0" collapsed="false">
      <c r="A33" s="102" t="s">
        <v>81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</row>
    <row r="34" customFormat="false" ht="18" hidden="false" customHeight="true" outlineLevel="0" collapsed="false">
      <c r="A34" s="44" t="s">
        <v>16</v>
      </c>
      <c r="B34" s="44"/>
      <c r="C34" s="60" t="s">
        <v>17</v>
      </c>
      <c r="D34" s="61" t="s">
        <v>18</v>
      </c>
      <c r="E34" s="61"/>
      <c r="F34" s="61"/>
      <c r="G34" s="61"/>
      <c r="H34" s="62"/>
      <c r="I34" s="54" t="s">
        <v>19</v>
      </c>
      <c r="J34" s="63" t="s">
        <v>17</v>
      </c>
      <c r="K34" s="64" t="s">
        <v>18</v>
      </c>
      <c r="L34" s="64"/>
      <c r="M34" s="64"/>
      <c r="N34" s="64"/>
    </row>
    <row r="35" customFormat="false" ht="28.5" hidden="false" customHeight="true" outlineLevel="0" collapsed="false">
      <c r="A35" s="44"/>
      <c r="B35" s="44"/>
      <c r="C35" s="60"/>
      <c r="D35" s="65" t="s">
        <v>20</v>
      </c>
      <c r="E35" s="66" t="s">
        <v>21</v>
      </c>
      <c r="F35" s="66" t="s">
        <v>22</v>
      </c>
      <c r="G35" s="66" t="s">
        <v>23</v>
      </c>
      <c r="H35" s="62"/>
      <c r="I35" s="54"/>
      <c r="J35" s="54"/>
      <c r="K35" s="67" t="s">
        <v>20</v>
      </c>
      <c r="L35" s="68" t="s">
        <v>21</v>
      </c>
      <c r="M35" s="68" t="s">
        <v>22</v>
      </c>
      <c r="N35" s="68" t="s">
        <v>23</v>
      </c>
    </row>
    <row r="36" customFormat="false" ht="15" hidden="false" customHeight="true" outlineLevel="0" collapsed="false">
      <c r="A36" s="69" t="s">
        <v>24</v>
      </c>
      <c r="B36" s="69"/>
      <c r="C36" s="70" t="s">
        <v>25</v>
      </c>
      <c r="D36" s="71" t="s">
        <v>26</v>
      </c>
      <c r="E36" s="103" t="n">
        <f aca="false">COUNTIFS('Game History'!G:G,"MRDA",'Game History'!H:H,"Sanc",'Game History'!I:I,Instructions!A70)</f>
        <v>0</v>
      </c>
      <c r="F36" s="103" t="n">
        <f aca="false">COUNTIFS('Game History'!G:G,"MRDA",'Game History'!H:H,"Reg",'Game History'!I:I,Instructions!A70)</f>
        <v>0</v>
      </c>
      <c r="G36" s="103" t="n">
        <f aca="false">COUNTIFS('Game History'!G:G,"MRDA",'Game History'!H:H,"Other",'Game History'!I:I,Instructions!A70)</f>
        <v>0</v>
      </c>
      <c r="H36" s="62"/>
      <c r="I36" s="73" t="s">
        <v>27</v>
      </c>
      <c r="J36" s="70" t="s">
        <v>28</v>
      </c>
      <c r="K36" s="72" t="s">
        <v>26</v>
      </c>
      <c r="L36" s="72" t="n">
        <f aca="false">COUNTIFS('Game History'!G:G,"MRDA",'Game History'!H:H,"Sanc",'Game History'!I:I,Instructions!A73)</f>
        <v>0</v>
      </c>
      <c r="M36" s="81" t="n">
        <f aca="false">COUNTIFS('Game History'!G:G,"MRDA",'Game History'!H:H,"Reg",'Game History'!I:I,Instructions!A73)</f>
        <v>0</v>
      </c>
      <c r="N36" s="81" t="n">
        <f aca="false">COUNTIFS('Game History'!G:G,"MRDA",'Game History'!H:H,"Other",'Game History'!I:I,Instructions!A73)</f>
        <v>0</v>
      </c>
    </row>
    <row r="37" customFormat="false" ht="15" hidden="false" customHeight="true" outlineLevel="0" collapsed="false">
      <c r="A37" s="69" t="s">
        <v>29</v>
      </c>
      <c r="B37" s="69"/>
      <c r="C37" s="70" t="s">
        <v>30</v>
      </c>
      <c r="D37" s="104" t="n">
        <f aca="false">COUNTIFS('Game History'!G:G,"MRDA",'Game History'!H:H,"Champs",'Game History'!I:I,Instructions!A74)+COUNTIFS('Game History'!G:G,"MRDA",'Game History'!H:H,"Playoff",'Game History'!I:I,Instructions!A74)</f>
        <v>0</v>
      </c>
      <c r="E37" s="105" t="n">
        <f aca="false">COUNTIFS('Game History'!G:G,"MRDA",'Game History'!H:H,"Sanc",'Game History'!I:I,Instructions!A74)</f>
        <v>0</v>
      </c>
      <c r="F37" s="105" t="n">
        <f aca="false">COUNTIFS('Game History'!G:G,"MRDA",'Game History'!H:H,"Reg",'Game History'!I:I,Instructions!A74)</f>
        <v>0</v>
      </c>
      <c r="G37" s="105" t="n">
        <f aca="false">COUNTIFS('Game History'!G:G,"MRDA",'Game History'!H:H,"Other",'Game History'!I:I,Instructions!A74)</f>
        <v>0</v>
      </c>
      <c r="H37" s="62"/>
      <c r="I37" s="74" t="s">
        <v>31</v>
      </c>
      <c r="J37" s="70" t="s">
        <v>32</v>
      </c>
      <c r="K37" s="81" t="n">
        <f aca="false">COUNTIFS('Game History'!G:G,"MRDA",'Game History'!H:H,"Champs",'Game History'!I:I,Instructions!A77)+COUNTIFS('Game History'!G:G,"MRDA",'Game History'!H:H,"Playoff",'Game History'!I:I,Instructions!A77)</f>
        <v>0</v>
      </c>
      <c r="L37" s="72" t="n">
        <f aca="false">COUNTIFS('Game History'!G:G,"MRDA",'Game History'!H:H,"Sanc",'Game History'!I:I,Instructions!A77)</f>
        <v>0</v>
      </c>
      <c r="M37" s="81" t="n">
        <f aca="false">COUNTIFS('Game History'!G:G,"MRDA",'Game History'!H:H,"Reg",'Game History'!I:I,Instructions!A77)</f>
        <v>0</v>
      </c>
      <c r="N37" s="81" t="n">
        <f aca="false">COUNTIFS('Game History'!G:G,"MRDA",'Game History'!H:H,"Other",'Game History'!I:I,Instructions!A77)</f>
        <v>0</v>
      </c>
    </row>
    <row r="38" customFormat="false" ht="15" hidden="false" customHeight="true" outlineLevel="0" collapsed="false">
      <c r="A38" s="69" t="s">
        <v>33</v>
      </c>
      <c r="B38" s="75"/>
      <c r="C38" s="70" t="s">
        <v>34</v>
      </c>
      <c r="D38" s="104" t="n">
        <f aca="false">COUNTIFS('Game History'!G:G,"MRDA",'Game History'!H:H,"Champs",'Game History'!I:I,Instructions!A75)+COUNTIFS('Game History'!G:G,"MRDA",'Game History'!H:H,"Playoff",'Game History'!I:I,Instructions!A75)</f>
        <v>0</v>
      </c>
      <c r="E38" s="105" t="n">
        <f aca="false">COUNTIFS('Game History'!G:G,"MRDA",'Game History'!H:H,"Sanc",'Game History'!I:I,Instructions!A75)</f>
        <v>0</v>
      </c>
      <c r="F38" s="105" t="n">
        <f aca="false">COUNTIFS('Game History'!G:G,"MRDA",'Game History'!H:H,"Reg",'Game History'!I:I,Instructions!A75)</f>
        <v>0</v>
      </c>
      <c r="G38" s="105" t="n">
        <f aca="false">COUNTIFS('Game History'!G:G,"MRDA",'Game History'!H:H,"Other",'Game History'!I:I,Instructions!A75)</f>
        <v>0</v>
      </c>
      <c r="H38" s="62"/>
      <c r="I38" s="76" t="s">
        <v>35</v>
      </c>
      <c r="J38" s="70" t="s">
        <v>36</v>
      </c>
      <c r="K38" s="81" t="n">
        <f aca="false">COUNTIFS('Game History'!G:G,"MRDA",'Game History'!H:H,"Champs",'Game History'!I:I,Instructions!A78)+COUNTIFS('Game History'!G:G,"MRDA",'Game History'!H:H,"Playoff",'Game History'!I:I,Instructions!A78)</f>
        <v>0</v>
      </c>
      <c r="L38" s="72" t="n">
        <f aca="false">COUNTIFS('Game History'!G:G,"MRDA",'Game History'!H:H,"Sanc",'Game History'!I:I,Instructions!A78)</f>
        <v>0</v>
      </c>
      <c r="M38" s="81" t="n">
        <f aca="false">COUNTIFS('Game History'!G:G,"MRDA",'Game History'!H:H,"Reg",'Game History'!I:I,Instructions!A78)</f>
        <v>0</v>
      </c>
      <c r="N38" s="81" t="n">
        <f aca="false">COUNTIFS('Game History'!G:G,"MRDA",'Game History'!H:H,"Other",'Game History'!I:I,Instructions!A78)</f>
        <v>0</v>
      </c>
    </row>
    <row r="39" customFormat="false" ht="15" hidden="false" customHeight="true" outlineLevel="0" collapsed="false">
      <c r="A39" s="69" t="s">
        <v>37</v>
      </c>
      <c r="B39" s="69"/>
      <c r="C39" s="70" t="s">
        <v>38</v>
      </c>
      <c r="D39" s="104" t="n">
        <f aca="false">COUNTIFS('Game History'!G:G,"MRDA",'Game History'!H:H,"Champs",'Game History'!I:I,Instructions!A76)+COUNTIFS('Game History'!G:G,"MRDA",'Game History'!H:H,"Playoff",'Game History'!I:I,Instructions!A76)</f>
        <v>0</v>
      </c>
      <c r="E39" s="105" t="n">
        <f aca="false">COUNTIFS('Game History'!G:G,"MRDA",'Game History'!H:H,"Sanc",'Game History'!I:I,Instructions!A76)</f>
        <v>0</v>
      </c>
      <c r="F39" s="105" t="n">
        <f aca="false">COUNTIFS('Game History'!G:G,"MRDA",'Game History'!H:H,"Reg",'Game History'!I:I,Instructions!A76)</f>
        <v>0</v>
      </c>
      <c r="G39" s="105" t="n">
        <f aca="false">COUNTIFS('Game History'!G:G,"MRDA",'Game History'!H:H,"Other",'Game History'!I:I,Instructions!A76)</f>
        <v>0</v>
      </c>
      <c r="H39" s="62"/>
      <c r="I39" s="76" t="s">
        <v>39</v>
      </c>
      <c r="J39" s="70" t="s">
        <v>40</v>
      </c>
      <c r="K39" s="81" t="n">
        <f aca="false">COUNTIFS('Game History'!G:G,"MRDA",'Game History'!H:H,"Champs",'Game History'!I:I,Instructions!A79)+COUNTIFS('Game History'!G:G,"MRDA",'Game History'!H:H,"Playoff",'Game History'!I:I,Instructions!A79)</f>
        <v>0</v>
      </c>
      <c r="L39" s="72" t="n">
        <f aca="false">COUNTIFS('Game History'!G:G,"MRDA",'Game History'!H:H,"Sanc",'Game History'!I:I,Instructions!A79)</f>
        <v>0</v>
      </c>
      <c r="M39" s="81" t="n">
        <f aca="false">COUNTIFS('Game History'!G:G,"MRDA",'Game History'!H:H,"Reg",'Game History'!I:I,Instructions!A79)</f>
        <v>0</v>
      </c>
      <c r="N39" s="81" t="n">
        <f aca="false">COUNTIFS('Game History'!G:G,"MRDA",'Game History'!H:H,"Other",'Game History'!I:I,Instructions!A79)</f>
        <v>0</v>
      </c>
    </row>
    <row r="40" customFormat="false" ht="15" hidden="false" customHeight="true" outlineLevel="0" collapsed="false">
      <c r="A40" s="69" t="s">
        <v>41</v>
      </c>
      <c r="B40" s="69"/>
      <c r="C40" s="70" t="s">
        <v>42</v>
      </c>
      <c r="D40" s="104" t="n">
        <f aca="false">COUNTIFS('Game History'!G:G,"MRDA",'Game History'!H:H,"Champs",'Game History'!I:I,Instructions!A87)+COUNTIFS('Game History'!G:G,"MRDA",'Game History'!H:H,"Playoff",'Game History'!I:I,Instructions!A87)</f>
        <v>0</v>
      </c>
      <c r="E40" s="105" t="n">
        <f aca="false">COUNTIFS('Game History'!G:G,"MRDA",'Game History'!H:H,"Sanc",'Game History'!I:I,Instructions!A87)</f>
        <v>0</v>
      </c>
      <c r="F40" s="105" t="n">
        <f aca="false">COUNTIFS('Game History'!G:G,"MRDA",'Game History'!H:H,"Reg",'Game History'!I:I,Instructions!A87)</f>
        <v>0</v>
      </c>
      <c r="G40" s="105" t="n">
        <f aca="false">COUNTIFS('Game History'!G:G,"MRDA",'Game History'!H:H,"Other",'Game History'!I:I,Instructions!A87)</f>
        <v>0</v>
      </c>
      <c r="H40" s="62"/>
      <c r="I40" s="76" t="s">
        <v>43</v>
      </c>
      <c r="J40" s="70" t="s">
        <v>44</v>
      </c>
      <c r="K40" s="81" t="n">
        <f aca="false">COUNTIFS('Game History'!G:G,"MRDA",'Game History'!H:H,"Champs",'Game History'!I:I,Instructions!A80)+COUNTIFS('Game History'!G:G,"MRDA",'Game History'!H:H,"Playoff",'Game History'!I:I,Instructions!A80)</f>
        <v>0</v>
      </c>
      <c r="L40" s="72" t="n">
        <f aca="false">COUNTIFS('Game History'!G:G,"MRDA",'Game History'!H:H,"Sanc",'Game History'!I:I,Instructions!A80)</f>
        <v>0</v>
      </c>
      <c r="M40" s="81" t="n">
        <f aca="false">COUNTIFS('Game History'!G:G,"MRDA",'Game History'!H:H,"Reg",'Game History'!I:I,Instructions!A80)</f>
        <v>0</v>
      </c>
      <c r="N40" s="81" t="n">
        <f aca="false">COUNTIFS('Game History'!G:G,"MRDA",'Game History'!H:H,"Other",'Game History'!I:I,Instructions!A80)</f>
        <v>0</v>
      </c>
    </row>
    <row r="41" customFormat="false" ht="15" hidden="false" customHeight="true" outlineLevel="0" collapsed="false">
      <c r="A41" s="77" t="s">
        <v>45</v>
      </c>
      <c r="B41" s="77"/>
      <c r="C41" s="77"/>
      <c r="D41" s="78" t="n">
        <f aca="false">SUM(D36:D40)</f>
        <v>0</v>
      </c>
      <c r="E41" s="78" t="n">
        <f aca="false">SUM(E36:E40)</f>
        <v>0</v>
      </c>
      <c r="F41" s="78" t="n">
        <f aca="false">SUM(F36:F40)</f>
        <v>0</v>
      </c>
      <c r="G41" s="78" t="n">
        <f aca="false">SUM(G36:G40)</f>
        <v>0</v>
      </c>
      <c r="H41" s="62"/>
      <c r="I41" s="76" t="s">
        <v>46</v>
      </c>
      <c r="J41" s="70" t="s">
        <v>47</v>
      </c>
      <c r="K41" s="81" t="n">
        <f aca="false">COUNTIFS('Game History'!G:G,"MRDA",'Game History'!H:H,"Champs",'Game History'!I:I,Instructions!A81)+COUNTIFS('Game History'!G:G,"MRDA",'Game History'!H:H,"Playoff",'Game History'!I:I,Instructions!A81)</f>
        <v>0</v>
      </c>
      <c r="L41" s="72" t="n">
        <f aca="false">COUNTIFS('Game History'!G:G,"MRDA",'Game History'!H:H,"Sanc",'Game History'!I:I,Instructions!A81)</f>
        <v>0</v>
      </c>
      <c r="M41" s="81" t="n">
        <f aca="false">COUNTIFS('Game History'!G:G,"MRDA",'Game History'!H:H,"Reg",'Game History'!I:I,Instructions!A81)</f>
        <v>0</v>
      </c>
      <c r="N41" s="81" t="n">
        <f aca="false">COUNTIFS('Game History'!G:G,"MRDA",'Game History'!H:H,"Other",'Game History'!I:I,Instructions!A81)</f>
        <v>0</v>
      </c>
    </row>
    <row r="42" customFormat="false" ht="15" hidden="false" customHeight="true" outlineLevel="0" collapsed="false">
      <c r="A42" s="56"/>
      <c r="B42" s="56"/>
      <c r="C42" s="79"/>
      <c r="D42" s="56"/>
      <c r="E42" s="56"/>
      <c r="F42" s="56"/>
      <c r="G42" s="56"/>
      <c r="H42" s="80"/>
      <c r="I42" s="76" t="s">
        <v>48</v>
      </c>
      <c r="J42" s="70" t="s">
        <v>49</v>
      </c>
      <c r="K42" s="81" t="n">
        <f aca="false">COUNTIFS('Game History'!G:G,"MRDA",'Game History'!H:H,"Champs",'Game History'!I:I,Instructions!A82)+COUNTIFS('Game History'!G:G,"MRDA",'Game History'!H:H,"Playoff",'Game History'!I:I,Instructions!A82)</f>
        <v>0</v>
      </c>
      <c r="L42" s="72" t="n">
        <f aca="false">COUNTIFS('Game History'!G:G,"MRDA",'Game History'!H:H,"Sanc",'Game History'!I:I,Instructions!A82)</f>
        <v>0</v>
      </c>
      <c r="M42" s="81" t="n">
        <f aca="false">COUNTIFS('Game History'!G:G,"MRDA",'Game History'!H:H,"Reg",'Game History'!I:I,Instructions!A82)</f>
        <v>0</v>
      </c>
      <c r="N42" s="81" t="n">
        <f aca="false">COUNTIFS('Game History'!G:G,"MRDA",'Game History'!H:H,"Other",'Game History'!I:I,Instructions!A82)</f>
        <v>0</v>
      </c>
    </row>
    <row r="43" customFormat="false" ht="15" hidden="false" customHeight="true" outlineLevel="0" collapsed="false">
      <c r="A43" s="69" t="s">
        <v>50</v>
      </c>
      <c r="B43" s="69"/>
      <c r="C43" s="70" t="s">
        <v>51</v>
      </c>
      <c r="D43" s="81" t="n">
        <f aca="false">COUNTIFS('Game History'!G:G,"MRDA",'Game History'!H:H,"Champs",'Game History'!I:I,Instructions!A68)+COUNTIFS('Game History'!G:G,"MRDA",'Game History'!H:H,"Playoff",'Game History'!I:I,Instructions!A68)</f>
        <v>0</v>
      </c>
      <c r="E43" s="81" t="n">
        <f aca="false">COUNTIFS('Game History'!G:G,"MRDA",'Game History'!H:H,"Sanc",'Game History'!I:I,Instructions!A68)</f>
        <v>0</v>
      </c>
      <c r="F43" s="81" t="n">
        <f aca="false">COUNTIFS('Game History'!G:G,"MRDA",'Game History'!H:H,"Reg",'Game History'!I:I,Instructions!A68)</f>
        <v>0</v>
      </c>
      <c r="G43" s="81" t="n">
        <f aca="false">COUNTIFS('Game History'!G:G,"MRDA",'Game History'!H:H,"Other",'Game History'!I:I,Instructions!A68)</f>
        <v>0</v>
      </c>
      <c r="H43" s="62"/>
      <c r="I43" s="76" t="s">
        <v>52</v>
      </c>
      <c r="J43" s="70" t="s">
        <v>53</v>
      </c>
      <c r="K43" s="81" t="n">
        <f aca="false">COUNTIFS('Game History'!G:G,"MRDA",'Game History'!H:H,"Champs",'Game History'!I:I,Instructions!A83)+COUNTIFS('Game History'!G:G,"MRDA",'Game History'!H:H,"Playoff",'Game History'!I:I,Instructions!A83)</f>
        <v>0</v>
      </c>
      <c r="L43" s="72" t="n">
        <f aca="false">COUNTIFS('Game History'!G:G,"MRDA",'Game History'!H:H,"Sanc",'Game History'!I:I,Instructions!A83)</f>
        <v>0</v>
      </c>
      <c r="M43" s="81" t="n">
        <f aca="false">COUNTIFS('Game History'!G:G,"MRDA",'Game History'!H:H,"Reg",'Game History'!I:I,Instructions!A83)</f>
        <v>0</v>
      </c>
      <c r="N43" s="81" t="n">
        <f aca="false">COUNTIFS('Game History'!G:G,"MRDA",'Game History'!H:H,"Other",'Game History'!I:I,Instructions!A83)</f>
        <v>0</v>
      </c>
    </row>
    <row r="44" customFormat="false" ht="15" hidden="false" customHeight="true" outlineLevel="0" collapsed="false">
      <c r="A44" s="69" t="s">
        <v>54</v>
      </c>
      <c r="B44" s="69"/>
      <c r="C44" s="70" t="s">
        <v>55</v>
      </c>
      <c r="D44" s="81" t="n">
        <f aca="false">COUNTIFS('Game History'!G:G,"MRDA",'Game History'!H:H,"Champs",'Game History'!I:I,Instructions!A69)+COUNTIFS('Game History'!G:G,"MRDA",'Game History'!H:H,"Playoff",'Game History'!I:I,Instructions!A69)+COUNTIFS('Game History'!G:G,"MRDA",'Game History'!H:H,"Champs",'Game History'!I:I,Instructions!A70)+COUNTIFS('Game History'!G:G,"MRDA",'Game History'!H:H,"Playoff",'Game History'!I:I,Instructions!A70)</f>
        <v>0</v>
      </c>
      <c r="E44" s="81" t="n">
        <f aca="false">COUNTIFS('Game History'!G:G,"MRDA",'Game History'!H:H,"Sanc",'Game History'!I:I,Instructions!A69)</f>
        <v>0</v>
      </c>
      <c r="F44" s="81" t="n">
        <f aca="false">COUNTIFS('Game History'!G:G,"MRDA",'Game History'!H:H,"Reg",'Game History'!I:I,Instructions!A69)</f>
        <v>0</v>
      </c>
      <c r="G44" s="81" t="n">
        <f aca="false">COUNTIFS('Game History'!G:G,"MRDA",'Game History'!H:H,"Other",'Game History'!I:I,Instructions!A69)</f>
        <v>0</v>
      </c>
      <c r="H44" s="62"/>
      <c r="I44" s="76" t="s">
        <v>56</v>
      </c>
      <c r="J44" s="70" t="s">
        <v>57</v>
      </c>
      <c r="K44" s="81" t="n">
        <f aca="false">COUNTIFS('Game History'!G:G,"MRDA",'Game History'!H:H,"Champs",'Game History'!I:I,Instructions!A84)+COUNTIFS('Game History'!G:G,"MRDA",'Game History'!H:H,"Playoff",'Game History'!I:I,Instructions!A84)</f>
        <v>0</v>
      </c>
      <c r="L44" s="72" t="n">
        <f aca="false">COUNTIFS('Game History'!G:G,"MRDA",'Game History'!H:H,"Sanc",'Game History'!I:I,Instructions!A84)</f>
        <v>0</v>
      </c>
      <c r="M44" s="81" t="n">
        <f aca="false">COUNTIFS('Game History'!G:G,"MRDA",'Game History'!H:H,"Reg",'Game History'!I:I,Instructions!A84)</f>
        <v>0</v>
      </c>
      <c r="N44" s="81" t="n">
        <f aca="false">COUNTIFS('Game History'!G:G,"MRDA",'Game History'!H:H,"Other",'Game History'!I:I,Instructions!A84)</f>
        <v>0</v>
      </c>
    </row>
    <row r="45" customFormat="false" ht="15" hidden="false" customHeight="true" outlineLevel="0" collapsed="false">
      <c r="A45" s="82" t="s">
        <v>58</v>
      </c>
      <c r="B45" s="82"/>
      <c r="C45" s="83" t="s">
        <v>59</v>
      </c>
      <c r="D45" s="81" t="n">
        <f aca="false">COUNTIFS('Game History'!G:G,"MRDA",'Game History'!H:H,"Champs",'Game History'!I:I,Instructions!A67)+COUNTIFS('Game History'!G:G,"MRDA",'Game History'!H:H,"Playoff",'Game History'!I:I,Instructions!A67)</f>
        <v>0</v>
      </c>
      <c r="E45" s="81" t="n">
        <f aca="false">COUNTIFS('Game History'!G:G,"MRDA",'Game History'!H:H,"Sanc",'Game History'!I:I,Instructions!A67)</f>
        <v>0</v>
      </c>
      <c r="F45" s="81" t="n">
        <f aca="false">COUNTIFS('Game History'!G:G,"MRDA",'Game History'!H:H,"Reg",'Game History'!I:I,Instructions!A67)</f>
        <v>0</v>
      </c>
      <c r="G45" s="81" t="n">
        <f aca="false">COUNTIFS('Game History'!G:G,"MRDA",'Game History'!H:H,"Other",'Game History'!I:I,Instructions!A67)</f>
        <v>0</v>
      </c>
      <c r="H45" s="62"/>
      <c r="I45" s="76" t="s">
        <v>60</v>
      </c>
      <c r="J45" s="70" t="s">
        <v>61</v>
      </c>
      <c r="K45" s="81" t="n">
        <f aca="false">COUNTIFS('Game History'!G:G,"MRDA",'Game History'!H:H,"Champs",'Game History'!I:I,Instructions!A85)+COUNTIFS('Game History'!G:G,"MRDA",'Game History'!H:H,"Playoff",'Game History'!I:I,Instructions!A85)</f>
        <v>0</v>
      </c>
      <c r="L45" s="72" t="n">
        <f aca="false">COUNTIFS('Game History'!G:G,"MRDA",'Game History'!H:H,"Sanc",'Game History'!I:I,Instructions!A85)</f>
        <v>0</v>
      </c>
      <c r="M45" s="81" t="n">
        <f aca="false">COUNTIFS('Game History'!G:G,"MRDA",'Game History'!H:H,"Reg",'Game History'!I:I,Instructions!A85)</f>
        <v>0</v>
      </c>
      <c r="N45" s="81" t="n">
        <f aca="false">COUNTIFS('Game History'!G:G,"MRDA",'Game History'!H:H,"Other",'Game History'!I:I,Instructions!A85)</f>
        <v>0</v>
      </c>
    </row>
    <row r="46" customFormat="false" ht="15" hidden="false" customHeight="true" outlineLevel="0" collapsed="false">
      <c r="A46" s="84" t="s">
        <v>62</v>
      </c>
      <c r="B46" s="84"/>
      <c r="C46" s="70" t="s">
        <v>63</v>
      </c>
      <c r="D46" s="81" t="n">
        <f aca="false">COUNTIFS('Game History'!G:G,"MRDA",'Game History'!H:H,"Champs",'Game History'!I:I,Instructions!A71)+COUNTIFS('Game History'!G:G,"MRDA",'Game History'!H:H,"Playoff",'Game History'!I:I,Instructions!A71)</f>
        <v>0</v>
      </c>
      <c r="E46" s="81" t="n">
        <f aca="false">COUNTIFS('Game History'!G:G,"MRDA",'Game History'!H:H,"Sanc",'Game History'!I:I,Instructions!A71)</f>
        <v>0</v>
      </c>
      <c r="F46" s="81" t="n">
        <f aca="false">COUNTIFS('Game History'!G:G,"MRDA",'Game History'!H:H,"Reg",'Game History'!I:I,Instructions!A71)</f>
        <v>0</v>
      </c>
      <c r="G46" s="81" t="n">
        <f aca="false">COUNTIFS('Game History'!G:G,"MRDA",'Game History'!H:H,"Other",'Game History'!I:I,Instructions!A71)</f>
        <v>0</v>
      </c>
      <c r="H46" s="62"/>
      <c r="I46" s="76" t="s">
        <v>64</v>
      </c>
      <c r="J46" s="70" t="s">
        <v>65</v>
      </c>
      <c r="K46" s="81" t="n">
        <f aca="false">COUNTIFS('Game History'!G:G,"MRDA",'Game History'!H:H,"Champs",'Game History'!I:I,Instructions!A86)+COUNTIFS('Game History'!G:G,"MRDA",'Game History'!H:H,"Playoff",'Game History'!I:I,Instructions!A86)</f>
        <v>0</v>
      </c>
      <c r="L46" s="72" t="n">
        <f aca="false">COUNTIFS('Game History'!G:G,"MRDA",'Game History'!H:H,"Sanc",'Game History'!I:I,Instructions!A86)</f>
        <v>0</v>
      </c>
      <c r="M46" s="81" t="n">
        <f aca="false">COUNTIFS('Game History'!G:G,"MRDA",'Game History'!H:H,"Reg",'Game History'!I:I,Instructions!A86)</f>
        <v>0</v>
      </c>
      <c r="N46" s="81" t="n">
        <f aca="false">COUNTIFS('Game History'!G:G,"MRDA",'Game History'!H:H,"Other",'Game History'!I:I,Instructions!A86)</f>
        <v>0</v>
      </c>
    </row>
    <row r="47" customFormat="false" ht="15" hidden="false" customHeight="true" outlineLevel="0" collapsed="false">
      <c r="A47" s="84" t="s">
        <v>66</v>
      </c>
      <c r="B47" s="84"/>
      <c r="C47" s="70" t="s">
        <v>67</v>
      </c>
      <c r="D47" s="81" t="n">
        <f aca="false">COUNTIFS('Game History'!G:G,"MRDA",'Game History'!H:H,"Champs",'Game History'!I:I,Instructions!A72)+COUNTIFS('Game History'!G:G,"MRDA",'Game History'!H:H,"Playoff",'Game History'!I:I,Instructions!A72)+COUNTIFS('Game History'!G:G,"MRDA",'Game History'!H:H,"Champs",'Game History'!I:I,Instructions!A73)+COUNTIFS('Game History'!G:G,"MRDA",'Game History'!H:H,"Playoff",'Game History'!I:I,Instructions!A73)</f>
        <v>0</v>
      </c>
      <c r="E47" s="81" t="n">
        <f aca="false">COUNTIFS('Game History'!G:G,"MRDA",'Game History'!H:H,"Sanc",'Game History'!I:I,Instructions!A72)</f>
        <v>0</v>
      </c>
      <c r="F47" s="81" t="n">
        <f aca="false">COUNTIFS('Game History'!G:G,"MRDA",'Game History'!H:H,"Reg",'Game History'!I:I,Instructions!A72)</f>
        <v>0</v>
      </c>
      <c r="G47" s="81" t="n">
        <f aca="false">COUNTIFS('Game History'!G:G,"MRDA",'Game History'!H:H,"Other",'Game History'!I:I,Instructions!A72)</f>
        <v>0</v>
      </c>
      <c r="H47" s="62"/>
      <c r="I47" s="76" t="s">
        <v>68</v>
      </c>
      <c r="J47" s="70" t="s">
        <v>69</v>
      </c>
      <c r="K47" s="81" t="n">
        <f aca="false">COUNTIFS('Game History'!G:G,"MRDA",'Game History'!H:H,"Champs",'Game History'!I:I,Instructions!A88)+COUNTIFS('Game History'!G:G,"MRDA",'Game History'!H:H,"Playoff",'Game History'!I:I,Instructions!A88)</f>
        <v>0</v>
      </c>
      <c r="L47" s="72" t="n">
        <f aca="false">COUNTIFS('Game History'!G:G,"MRDA",'Game History'!H:H,"Sanc",'Game History'!I:I,Instructions!A88)</f>
        <v>0</v>
      </c>
      <c r="M47" s="81" t="n">
        <f aca="false">COUNTIFS('Game History'!G:G,"MRDA",'Game History'!H:H,"Reg",'Game History'!I:I,Instructions!A88)</f>
        <v>0</v>
      </c>
      <c r="N47" s="81" t="n">
        <f aca="false">COUNTIFS('Game History'!G:G,"MRDA",'Game History'!H:H,"Other",'Game History'!I:I,Instructions!A88)</f>
        <v>0</v>
      </c>
    </row>
    <row r="48" customFormat="false" ht="15" hidden="false" customHeight="true" outlineLevel="0" collapsed="false">
      <c r="A48" s="85"/>
      <c r="B48" s="56"/>
      <c r="C48" s="56"/>
      <c r="D48" s="56"/>
      <c r="E48" s="56"/>
      <c r="F48" s="56"/>
      <c r="G48" s="56"/>
      <c r="H48" s="80"/>
      <c r="I48" s="86" t="s">
        <v>70</v>
      </c>
      <c r="J48" s="86"/>
      <c r="K48" s="87" t="n">
        <f aca="false">SUM(K36:K47)</f>
        <v>0</v>
      </c>
      <c r="L48" s="87" t="n">
        <f aca="false">SUM(L36:L47)</f>
        <v>0</v>
      </c>
      <c r="M48" s="87" t="n">
        <f aca="false">SUM(M36:M47)</f>
        <v>0</v>
      </c>
      <c r="N48" s="87" t="n">
        <f aca="false">SUM(N36:N47)</f>
        <v>0</v>
      </c>
    </row>
    <row r="49" customFormat="false" ht="15.75" hidden="false" customHeight="true" outlineLevel="0" collapsed="false">
      <c r="A49" s="84" t="s">
        <v>82</v>
      </c>
      <c r="B49" s="84"/>
      <c r="C49" s="84"/>
      <c r="D49" s="84"/>
      <c r="E49" s="84"/>
      <c r="F49" s="84"/>
      <c r="G49" s="84"/>
      <c r="H49" s="62"/>
      <c r="I49" s="88" t="s">
        <v>72</v>
      </c>
      <c r="J49" s="88"/>
      <c r="K49" s="88"/>
      <c r="L49" s="88"/>
      <c r="M49" s="89" t="n">
        <f aca="false">COUNTIFS('Game History'!G:G,"MRDA",'Game History'!K:K,"Y")</f>
        <v>0</v>
      </c>
      <c r="N49" s="89"/>
    </row>
    <row r="50" customFormat="false" ht="1.5" hidden="false" customHeight="true" outlineLevel="0" collapsed="false">
      <c r="A50" s="90" t="s">
        <v>73</v>
      </c>
      <c r="B50" s="91" t="s">
        <v>74</v>
      </c>
      <c r="C50" s="91" t="s">
        <v>75</v>
      </c>
      <c r="D50" s="90" t="s">
        <v>73</v>
      </c>
      <c r="E50" s="92" t="s">
        <v>74</v>
      </c>
      <c r="F50" s="92"/>
      <c r="G50" s="91" t="s">
        <v>75</v>
      </c>
      <c r="H50" s="47"/>
      <c r="I50" s="56"/>
      <c r="J50" s="56"/>
      <c r="K50" s="56"/>
      <c r="L50" s="56"/>
      <c r="M50" s="93"/>
      <c r="N50" s="56"/>
    </row>
    <row r="51" customFormat="false" ht="15.75" hidden="false" customHeight="true" outlineLevel="0" collapsed="false">
      <c r="A51" s="94"/>
      <c r="B51" s="94"/>
      <c r="C51" s="94"/>
      <c r="D51" s="95"/>
      <c r="E51" s="95"/>
      <c r="F51" s="95"/>
      <c r="G51" s="94"/>
      <c r="H51" s="62"/>
      <c r="I51" s="96" t="s">
        <v>83</v>
      </c>
      <c r="J51" s="96"/>
      <c r="K51" s="97" t="s">
        <v>77</v>
      </c>
      <c r="L51" s="97"/>
      <c r="M51" s="97" t="s">
        <v>78</v>
      </c>
      <c r="N51" s="97"/>
    </row>
    <row r="52" customFormat="false" ht="16.5" hidden="false" customHeight="true" outlineLevel="0" collapsed="false">
      <c r="A52" s="94"/>
      <c r="B52" s="94"/>
      <c r="C52" s="94"/>
      <c r="D52" s="95"/>
      <c r="E52" s="95"/>
      <c r="F52" s="95"/>
      <c r="G52" s="94"/>
      <c r="H52" s="62"/>
      <c r="I52" s="96"/>
      <c r="J52" s="96"/>
      <c r="K52" s="97" t="s">
        <v>79</v>
      </c>
      <c r="L52" s="97" t="s">
        <v>80</v>
      </c>
      <c r="M52" s="97" t="s">
        <v>79</v>
      </c>
      <c r="N52" s="97" t="s">
        <v>80</v>
      </c>
    </row>
    <row r="53" customFormat="false" ht="15.75" hidden="false" customHeight="true" outlineLevel="0" collapsed="false">
      <c r="A53" s="72"/>
      <c r="B53" s="72"/>
      <c r="C53" s="72"/>
      <c r="D53" s="98"/>
      <c r="E53" s="98"/>
      <c r="F53" s="98"/>
      <c r="G53" s="72"/>
      <c r="H53" s="62"/>
      <c r="I53" s="96"/>
      <c r="J53" s="96"/>
      <c r="K53" s="81" t="n">
        <f aca="false">COUNTIFS('Game History'!A:A,("&gt;="&amp;Instructions!B103),'Game History'!G:G,"MRDA",'Game History'!I:I,Instructions!A68)+COUNTIFS('Game History'!A:A,("&gt;="&amp;Instructions!B103),'Game History'!G:G,"MRDA",'Game History'!I:I,Instructions!A69)+COUNTIFS('Game History'!A:A,("&gt;="&amp;Instructions!B103),'Game History'!G:G,"MRDA",'Game History'!I:I,Instructions!A70)+COUNTIFS('Game History'!A:A,("&gt;="&amp;Instructions!B103),'Game History'!G:G,"MRDA",'Game History'!I:I,Instructions!A74)+COUNTIFS('Game History'!A:A,("&gt;="&amp;Instructions!B103),'Game History'!G:G,"MRDA",'Game History'!I:I,Instructions!A75)+COUNTIFS('Game History'!A:A,("&gt;="&amp;Instructions!B103),'Game History'!G:G,"MRDA",'Game History'!I:I,Instructions!A76)+COUNTIFS('Game History'!A:A,("&gt;="&amp;Instructions!B103),'Game History'!G:G,"MRDA",'Game History'!I:I,Instructions!A87)</f>
        <v>0</v>
      </c>
      <c r="L53" s="81" t="n">
        <f aca="false">COUNTIFS('Game History'!A:A,("&gt;="&amp;Instructions!B103),'Game History'!G:G,"MRDA",'Game History'!I:I,Instructions!A71)+COUNTIFS('Game History'!A:A,("&gt;="&amp;Instructions!B103),'Game History'!G:G,"MRDA",'Game History'!I:I,Instructions!A72)+COUNTIFS('Game History'!A:A,("&gt;="&amp;Instructions!B103),'Game History'!G:G,"MRDA",'Game History'!I:I,Instructions!A73)+COUNTIFS('Game History'!A:A,("&gt;="&amp;Instructions!B103),'Game History'!G:G,"MRDA",'Game History'!I:I,Instructions!A77)+COUNTIFS('Game History'!A:A,("&gt;="&amp;Instructions!B103),'Game History'!G:G,"MRDA",'Game History'!I:I,Instructions!A78)+COUNTIFS('Game History'!A:A,("&gt;="&amp;Instructions!B103),'Game History'!G:G,"MRDA",'Game History'!I:I,Instructions!A79)+COUNTIFS('Game History'!A:A,("&gt;="&amp;Instructions!B103),'Game History'!G:G,"MRDA",'Game History'!I:I,Instructions!A80)+COUNTIFS('Game History'!A:A,("&gt;="&amp;Instructions!B103),'Game History'!G:G,"MRDA",'Game History'!I:I,Instructions!A81)+COUNTIFS('Game History'!A:A,("&gt;="&amp;Instructions!B103),'Game History'!G:G,"MRDA",'Game History'!I:I,Instructions!A82)+COUNTIFS('Game History'!A:A,("&gt;="&amp;Instructions!B103),'Game History'!G:G,"MRDA",'Game History'!I:I,Instructions!A83)+COUNTIFS('Game History'!A:A,("&gt;="&amp;Instructions!B103),'Game History'!G:G,"MRDA",'Game History'!I:I,Instructions!A84)+COUNTIFS('Game History'!A:A,("&gt;="&amp;Instructions!B103),'Game History'!G:G,"MRDA",'Game History'!I:I,Instructions!A85)+COUNTIFS('Game History'!A:A,("&gt;="&amp;Instructions!B103),'Game History'!G:G,"MRDA",'Game History'!I:I,Instructions!A86)+COUNTIFS('Game History'!A:A,("&gt;="&amp;Instructions!B103),'Game History'!G:G,"MRDA",'Game History'!I:I,Instructions!A88)</f>
        <v>0</v>
      </c>
      <c r="M53" s="72" t="n">
        <f aca="false">SUM(D41+E41+F41+G41+D43+E43+F43+G43+D44+E44+F44+G44)</f>
        <v>0</v>
      </c>
      <c r="N53" s="72" t="n">
        <f aca="false">SUM(K48+L48+M48+N48+D46+E46+F46+G46+D47+E47+F47+G47)</f>
        <v>0</v>
      </c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1">
    <mergeCell ref="A1:K1"/>
    <mergeCell ref="C3:H3"/>
    <mergeCell ref="J3:K3"/>
    <mergeCell ref="C4:H4"/>
    <mergeCell ref="J4:K4"/>
    <mergeCell ref="C5:K5"/>
    <mergeCell ref="C6:E6"/>
    <mergeCell ref="F6:G6"/>
    <mergeCell ref="H6:K6"/>
    <mergeCell ref="C7:D7"/>
    <mergeCell ref="E7:F7"/>
    <mergeCell ref="G7:K7"/>
    <mergeCell ref="C8:D8"/>
    <mergeCell ref="E8:F8"/>
    <mergeCell ref="G8:K8"/>
    <mergeCell ref="A10:N10"/>
    <mergeCell ref="A11:B12"/>
    <mergeCell ref="C11:C12"/>
    <mergeCell ref="D11:G11"/>
    <mergeCell ref="I11:I12"/>
    <mergeCell ref="J11:J12"/>
    <mergeCell ref="K11:N11"/>
    <mergeCell ref="A13:B13"/>
    <mergeCell ref="A14:B14"/>
    <mergeCell ref="A16:B16"/>
    <mergeCell ref="A17:B17"/>
    <mergeCell ref="A18:C18"/>
    <mergeCell ref="A20:B20"/>
    <mergeCell ref="A21:B21"/>
    <mergeCell ref="A22:B22"/>
    <mergeCell ref="A23:B23"/>
    <mergeCell ref="A24:B24"/>
    <mergeCell ref="I25:J25"/>
    <mergeCell ref="A26:G26"/>
    <mergeCell ref="I26:L26"/>
    <mergeCell ref="M26:N26"/>
    <mergeCell ref="E27:F27"/>
    <mergeCell ref="E28:F28"/>
    <mergeCell ref="I28:J30"/>
    <mergeCell ref="K28:L28"/>
    <mergeCell ref="M28:N28"/>
    <mergeCell ref="E29:F29"/>
    <mergeCell ref="E30:F30"/>
    <mergeCell ref="A33:N33"/>
    <mergeCell ref="A34:B35"/>
    <mergeCell ref="C34:C35"/>
    <mergeCell ref="D34:G34"/>
    <mergeCell ref="I34:I35"/>
    <mergeCell ref="J34:J35"/>
    <mergeCell ref="K34:N34"/>
    <mergeCell ref="A36:B36"/>
    <mergeCell ref="A37:B37"/>
    <mergeCell ref="A39:B39"/>
    <mergeCell ref="A40:B40"/>
    <mergeCell ref="A41:C41"/>
    <mergeCell ref="A43:B43"/>
    <mergeCell ref="A44:B44"/>
    <mergeCell ref="A45:B45"/>
    <mergeCell ref="A46:B46"/>
    <mergeCell ref="A47:B47"/>
    <mergeCell ref="I48:J48"/>
    <mergeCell ref="A49:G49"/>
    <mergeCell ref="I49:L49"/>
    <mergeCell ref="M49:N49"/>
    <mergeCell ref="E50:F50"/>
    <mergeCell ref="E51:F51"/>
    <mergeCell ref="I51:J53"/>
    <mergeCell ref="K51:L51"/>
    <mergeCell ref="M51:N51"/>
    <mergeCell ref="E52:F52"/>
    <mergeCell ref="E53:F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A92" activeCellId="0" sqref="A9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38.63"/>
    <col collapsed="false" customWidth="true" hidden="false" outlineLevel="0" max="3" min="3" style="0" width="32.13"/>
    <col collapsed="false" customWidth="true" hidden="false" outlineLevel="0" max="4" min="4" style="0" width="26.25"/>
    <col collapsed="false" customWidth="true" hidden="false" outlineLevel="0" max="5" min="5" style="0" width="27.75"/>
    <col collapsed="false" customWidth="true" hidden="false" outlineLevel="0" max="6" min="6" style="0" width="24.13"/>
    <col collapsed="false" customWidth="true" hidden="false" outlineLevel="0" max="7" min="7" style="0" width="8.38"/>
    <col collapsed="false" customWidth="true" hidden="false" outlineLevel="0" max="8" min="8" style="0" width="8.63"/>
    <col collapsed="false" customWidth="true" hidden="false" outlineLevel="0" max="9" min="9" style="0" width="7.88"/>
    <col collapsed="false" customWidth="true" hidden="false" outlineLevel="0" max="11" min="10" style="0" width="8.75"/>
    <col collapsed="false" customWidth="true" hidden="false" outlineLevel="0" max="12" min="12" style="0" width="26.63"/>
    <col collapsed="false" customWidth="true" hidden="false" outlineLevel="0" max="13" min="13" style="0" width="25.25"/>
    <col collapsed="false" customWidth="true" hidden="false" outlineLevel="0" max="14" min="14" style="0" width="31"/>
  </cols>
  <sheetData>
    <row r="1" customFormat="false" ht="45" hidden="false" customHeight="true" outlineLevel="0" collapsed="false">
      <c r="A1" s="106"/>
      <c r="B1" s="106" t="s">
        <v>84</v>
      </c>
      <c r="C1" s="106"/>
      <c r="D1" s="106"/>
      <c r="E1" s="106"/>
      <c r="F1" s="106"/>
      <c r="G1" s="107"/>
      <c r="H1" s="107"/>
      <c r="I1" s="107"/>
      <c r="J1" s="107"/>
      <c r="K1" s="107"/>
      <c r="L1" s="107"/>
      <c r="M1" s="107"/>
      <c r="N1" s="107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customFormat="false" ht="15.75" hidden="false" customHeight="true" outlineLevel="0" collapsed="false">
      <c r="A2" s="109"/>
      <c r="B2" s="109" t="s">
        <v>85</v>
      </c>
      <c r="C2" s="109"/>
      <c r="D2" s="109" t="s">
        <v>86</v>
      </c>
      <c r="E2" s="109"/>
      <c r="F2" s="109"/>
      <c r="G2" s="110"/>
      <c r="H2" s="110"/>
      <c r="I2" s="109" t="s">
        <v>87</v>
      </c>
      <c r="J2" s="109"/>
      <c r="K2" s="109"/>
      <c r="L2" s="96" t="s">
        <v>88</v>
      </c>
      <c r="M2" s="96" t="s">
        <v>89</v>
      </c>
      <c r="N2" s="96" t="s">
        <v>90</v>
      </c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customFormat="false" ht="27.75" hidden="false" customHeight="true" outlineLevel="0" collapsed="false">
      <c r="A3" s="111" t="s">
        <v>91</v>
      </c>
      <c r="B3" s="112" t="s">
        <v>92</v>
      </c>
      <c r="C3" s="112" t="s">
        <v>74</v>
      </c>
      <c r="D3" s="113" t="s">
        <v>93</v>
      </c>
      <c r="E3" s="113" t="s">
        <v>94</v>
      </c>
      <c r="F3" s="113" t="s">
        <v>95</v>
      </c>
      <c r="G3" s="112" t="s">
        <v>96</v>
      </c>
      <c r="H3" s="112" t="s">
        <v>97</v>
      </c>
      <c r="I3" s="112" t="s">
        <v>98</v>
      </c>
      <c r="J3" s="114" t="s">
        <v>99</v>
      </c>
      <c r="K3" s="114" t="s">
        <v>100</v>
      </c>
      <c r="L3" s="96"/>
      <c r="M3" s="96"/>
      <c r="N3" s="96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customFormat="false" ht="15.75" hidden="false" customHeight="true" outlineLevel="0" collapsed="false">
      <c r="A4" s="115" t="n">
        <v>44807</v>
      </c>
      <c r="B4" s="116" t="s">
        <v>101</v>
      </c>
      <c r="C4" s="117" t="s">
        <v>102</v>
      </c>
      <c r="D4" s="117" t="s">
        <v>103</v>
      </c>
      <c r="E4" s="117" t="s">
        <v>104</v>
      </c>
      <c r="F4" s="117" t="s">
        <v>105</v>
      </c>
      <c r="G4" s="81" t="s">
        <v>15</v>
      </c>
      <c r="H4" s="81" t="s">
        <v>22</v>
      </c>
      <c r="I4" s="81" t="s">
        <v>49</v>
      </c>
      <c r="J4" s="81"/>
      <c r="K4" s="81"/>
      <c r="L4" s="116" t="s">
        <v>106</v>
      </c>
      <c r="M4" s="116"/>
      <c r="N4" s="116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customFormat="false" ht="14.25" hidden="false" customHeight="true" outlineLevel="0" collapsed="false">
      <c r="A5" s="115" t="n">
        <v>44822</v>
      </c>
      <c r="B5" s="116" t="s">
        <v>107</v>
      </c>
      <c r="C5" s="117" t="s">
        <v>108</v>
      </c>
      <c r="D5" s="117" t="s">
        <v>109</v>
      </c>
      <c r="E5" s="117" t="s">
        <v>109</v>
      </c>
      <c r="F5" s="117" t="s">
        <v>110</v>
      </c>
      <c r="G5" s="81" t="s">
        <v>15</v>
      </c>
      <c r="H5" s="81" t="s">
        <v>22</v>
      </c>
      <c r="I5" s="81" t="s">
        <v>65</v>
      </c>
      <c r="J5" s="81"/>
      <c r="K5" s="81"/>
      <c r="L5" s="116" t="s">
        <v>106</v>
      </c>
      <c r="M5" s="116" t="s">
        <v>111</v>
      </c>
      <c r="N5" s="116" t="s">
        <v>112</v>
      </c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customFormat="false" ht="14.25" hidden="false" customHeight="true" outlineLevel="0" collapsed="false">
      <c r="A6" s="115" t="n">
        <v>44822</v>
      </c>
      <c r="B6" s="116" t="s">
        <v>107</v>
      </c>
      <c r="C6" s="117" t="s">
        <v>108</v>
      </c>
      <c r="D6" s="117" t="s">
        <v>109</v>
      </c>
      <c r="E6" s="117" t="s">
        <v>104</v>
      </c>
      <c r="F6" s="117" t="s">
        <v>109</v>
      </c>
      <c r="G6" s="81" t="s">
        <v>15</v>
      </c>
      <c r="H6" s="81" t="s">
        <v>22</v>
      </c>
      <c r="I6" s="81" t="s">
        <v>57</v>
      </c>
      <c r="J6" s="81"/>
      <c r="K6" s="81"/>
      <c r="L6" s="108" t="s">
        <v>113</v>
      </c>
      <c r="M6" s="116" t="s">
        <v>111</v>
      </c>
      <c r="N6" s="116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customFormat="false" ht="14.25" hidden="false" customHeight="true" outlineLevel="0" collapsed="false">
      <c r="A7" s="115" t="n">
        <v>44822</v>
      </c>
      <c r="B7" s="116" t="s">
        <v>107</v>
      </c>
      <c r="C7" s="117" t="s">
        <v>108</v>
      </c>
      <c r="D7" s="117" t="s">
        <v>109</v>
      </c>
      <c r="E7" s="117" t="s">
        <v>104</v>
      </c>
      <c r="F7" s="117" t="s">
        <v>109</v>
      </c>
      <c r="G7" s="81" t="s">
        <v>15</v>
      </c>
      <c r="H7" s="81" t="s">
        <v>22</v>
      </c>
      <c r="I7" s="81" t="s">
        <v>57</v>
      </c>
      <c r="J7" s="81"/>
      <c r="K7" s="81"/>
      <c r="L7" s="116" t="s">
        <v>106</v>
      </c>
      <c r="M7" s="116" t="s">
        <v>111</v>
      </c>
      <c r="N7" s="116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customFormat="false" ht="14.25" hidden="false" customHeight="true" outlineLevel="0" collapsed="false">
      <c r="A8" s="115" t="n">
        <v>44863</v>
      </c>
      <c r="B8" s="116" t="s">
        <v>101</v>
      </c>
      <c r="C8" s="108" t="s">
        <v>114</v>
      </c>
      <c r="D8" s="117" t="s">
        <v>103</v>
      </c>
      <c r="E8" s="108" t="s">
        <v>115</v>
      </c>
      <c r="F8" s="117" t="s">
        <v>110</v>
      </c>
      <c r="G8" s="81" t="s">
        <v>15</v>
      </c>
      <c r="H8" s="81" t="s">
        <v>22</v>
      </c>
      <c r="I8" s="81" t="s">
        <v>61</v>
      </c>
      <c r="J8" s="81"/>
      <c r="K8" s="81"/>
      <c r="L8" s="116" t="s">
        <v>116</v>
      </c>
      <c r="M8" s="116" t="s">
        <v>117</v>
      </c>
      <c r="N8" s="116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customFormat="false" ht="14.25" hidden="false" customHeight="true" outlineLevel="0" collapsed="false">
      <c r="A9" s="115" t="n">
        <v>44863</v>
      </c>
      <c r="B9" s="116" t="s">
        <v>101</v>
      </c>
      <c r="C9" s="108" t="s">
        <v>114</v>
      </c>
      <c r="D9" s="117" t="s">
        <v>103</v>
      </c>
      <c r="E9" s="117" t="s">
        <v>104</v>
      </c>
      <c r="F9" s="117" t="s">
        <v>118</v>
      </c>
      <c r="G9" s="81" t="s">
        <v>15</v>
      </c>
      <c r="H9" s="81" t="s">
        <v>22</v>
      </c>
      <c r="I9" s="81" t="s">
        <v>49</v>
      </c>
      <c r="J9" s="81"/>
      <c r="K9" s="81"/>
      <c r="L9" s="108" t="s">
        <v>119</v>
      </c>
      <c r="M9" s="116" t="s">
        <v>120</v>
      </c>
      <c r="N9" s="116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customFormat="false" ht="14.25" hidden="false" customHeight="true" outlineLevel="0" collapsed="false">
      <c r="A10" s="115" t="n">
        <v>44878</v>
      </c>
      <c r="B10" s="116" t="s">
        <v>121</v>
      </c>
      <c r="C10" s="117" t="s">
        <v>122</v>
      </c>
      <c r="D10" s="117" t="s">
        <v>8</v>
      </c>
      <c r="E10" s="117" t="s">
        <v>123</v>
      </c>
      <c r="F10" s="117" t="s">
        <v>123</v>
      </c>
      <c r="G10" s="81" t="s">
        <v>15</v>
      </c>
      <c r="H10" s="81" t="s">
        <v>23</v>
      </c>
      <c r="I10" s="81" t="s">
        <v>49</v>
      </c>
      <c r="J10" s="81"/>
      <c r="K10" s="81"/>
      <c r="L10" s="116" t="s">
        <v>124</v>
      </c>
      <c r="M10" s="116" t="s">
        <v>125</v>
      </c>
      <c r="N10" s="116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customFormat="false" ht="14.25" hidden="false" customHeight="true" outlineLevel="0" collapsed="false">
      <c r="A11" s="115" t="n">
        <v>44878</v>
      </c>
      <c r="B11" s="116" t="s">
        <v>121</v>
      </c>
      <c r="C11" s="117" t="s">
        <v>126</v>
      </c>
      <c r="D11" s="117" t="s">
        <v>8</v>
      </c>
      <c r="E11" s="117" t="s">
        <v>123</v>
      </c>
      <c r="F11" s="117" t="s">
        <v>123</v>
      </c>
      <c r="G11" s="81" t="s">
        <v>15</v>
      </c>
      <c r="H11" s="81" t="s">
        <v>23</v>
      </c>
      <c r="I11" s="81" t="s">
        <v>53</v>
      </c>
      <c r="J11" s="81"/>
      <c r="K11" s="81"/>
      <c r="L11" s="116" t="s">
        <v>127</v>
      </c>
      <c r="M11" s="116" t="s">
        <v>111</v>
      </c>
      <c r="N11" s="116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customFormat="false" ht="14.25" hidden="false" customHeight="true" outlineLevel="0" collapsed="false">
      <c r="A12" s="115" t="n">
        <v>44878</v>
      </c>
      <c r="B12" s="116" t="s">
        <v>121</v>
      </c>
      <c r="C12" s="117" t="s">
        <v>126</v>
      </c>
      <c r="D12" s="117" t="s">
        <v>8</v>
      </c>
      <c r="E12" s="117" t="s">
        <v>123</v>
      </c>
      <c r="F12" s="117" t="s">
        <v>123</v>
      </c>
      <c r="G12" s="81" t="s">
        <v>15</v>
      </c>
      <c r="H12" s="81" t="s">
        <v>23</v>
      </c>
      <c r="I12" s="81" t="s">
        <v>32</v>
      </c>
      <c r="J12" s="81"/>
      <c r="K12" s="81"/>
      <c r="L12" s="108" t="s">
        <v>113</v>
      </c>
      <c r="M12" s="116" t="s">
        <v>128</v>
      </c>
      <c r="N12" s="116" t="s">
        <v>112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customFormat="false" ht="14.25" hidden="false" customHeight="true" outlineLevel="0" collapsed="false">
      <c r="A13" s="115" t="n">
        <v>44974</v>
      </c>
      <c r="B13" s="116" t="s">
        <v>129</v>
      </c>
      <c r="C13" s="117" t="s">
        <v>130</v>
      </c>
      <c r="D13" s="117" t="s">
        <v>8</v>
      </c>
      <c r="E13" s="117" t="s">
        <v>131</v>
      </c>
      <c r="F13" s="117" t="s">
        <v>128</v>
      </c>
      <c r="G13" s="81" t="s">
        <v>15</v>
      </c>
      <c r="H13" s="81" t="s">
        <v>23</v>
      </c>
      <c r="I13" s="81" t="s">
        <v>61</v>
      </c>
      <c r="J13" s="81"/>
      <c r="K13" s="81"/>
      <c r="L13" s="108" t="s">
        <v>113</v>
      </c>
      <c r="M13" s="108" t="s">
        <v>111</v>
      </c>
      <c r="N13" s="116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customFormat="false" ht="14.25" hidden="false" customHeight="true" outlineLevel="0" collapsed="false">
      <c r="A14" s="115" t="n">
        <v>44974</v>
      </c>
      <c r="B14" s="116" t="s">
        <v>129</v>
      </c>
      <c r="C14" s="117" t="s">
        <v>130</v>
      </c>
      <c r="D14" s="117" t="s">
        <v>8</v>
      </c>
      <c r="E14" s="117" t="s">
        <v>132</v>
      </c>
      <c r="F14" s="117" t="s">
        <v>133</v>
      </c>
      <c r="G14" s="81" t="s">
        <v>15</v>
      </c>
      <c r="H14" s="81" t="s">
        <v>23</v>
      </c>
      <c r="I14" s="81" t="s">
        <v>32</v>
      </c>
      <c r="J14" s="81"/>
      <c r="K14" s="81"/>
      <c r="L14" s="108" t="s">
        <v>124</v>
      </c>
      <c r="M14" s="108" t="s">
        <v>125</v>
      </c>
      <c r="N14" s="116" t="s">
        <v>112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customFormat="false" ht="14.25" hidden="false" customHeight="true" outlineLevel="0" collapsed="false">
      <c r="A15" s="115" t="n">
        <v>45003</v>
      </c>
      <c r="B15" s="116" t="s">
        <v>134</v>
      </c>
      <c r="C15" s="117" t="s">
        <v>135</v>
      </c>
      <c r="D15" s="117" t="s">
        <v>136</v>
      </c>
      <c r="E15" s="117" t="s">
        <v>137</v>
      </c>
      <c r="F15" s="117" t="s">
        <v>138</v>
      </c>
      <c r="G15" s="81" t="s">
        <v>15</v>
      </c>
      <c r="H15" s="81" t="s">
        <v>22</v>
      </c>
      <c r="I15" s="81" t="s">
        <v>61</v>
      </c>
      <c r="J15" s="81"/>
      <c r="K15" s="81"/>
      <c r="L15" s="116" t="s">
        <v>106</v>
      </c>
      <c r="M15" s="116"/>
      <c r="N15" s="116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customFormat="false" ht="14.25" hidden="false" customHeight="true" outlineLevel="0" collapsed="false">
      <c r="A16" s="115" t="n">
        <v>45003</v>
      </c>
      <c r="B16" s="116" t="s">
        <v>134</v>
      </c>
      <c r="C16" s="117" t="s">
        <v>135</v>
      </c>
      <c r="D16" s="117" t="s">
        <v>136</v>
      </c>
      <c r="E16" s="117" t="s">
        <v>139</v>
      </c>
      <c r="F16" s="117" t="s">
        <v>140</v>
      </c>
      <c r="G16" s="81" t="s">
        <v>15</v>
      </c>
      <c r="H16" s="81" t="s">
        <v>22</v>
      </c>
      <c r="I16" s="81" t="s">
        <v>61</v>
      </c>
      <c r="J16" s="81"/>
      <c r="K16" s="81"/>
      <c r="L16" s="116" t="s">
        <v>106</v>
      </c>
      <c r="M16" s="116"/>
      <c r="N16" s="116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customFormat="false" ht="14.25" hidden="false" customHeight="true" outlineLevel="0" collapsed="false">
      <c r="A17" s="115" t="n">
        <v>45003</v>
      </c>
      <c r="B17" s="116" t="s">
        <v>134</v>
      </c>
      <c r="C17" s="117" t="s">
        <v>135</v>
      </c>
      <c r="D17" s="117" t="s">
        <v>136</v>
      </c>
      <c r="E17" s="117" t="s">
        <v>140</v>
      </c>
      <c r="F17" s="117" t="s">
        <v>138</v>
      </c>
      <c r="G17" s="81" t="s">
        <v>15</v>
      </c>
      <c r="H17" s="81" t="s">
        <v>22</v>
      </c>
      <c r="I17" s="81" t="s">
        <v>61</v>
      </c>
      <c r="J17" s="81"/>
      <c r="K17" s="81"/>
      <c r="L17" s="116" t="s">
        <v>106</v>
      </c>
      <c r="M17" s="116"/>
      <c r="N17" s="116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customFormat="false" ht="14.25" hidden="false" customHeight="true" outlineLevel="0" collapsed="false">
      <c r="A18" s="115" t="n">
        <v>45003</v>
      </c>
      <c r="B18" s="116" t="s">
        <v>134</v>
      </c>
      <c r="C18" s="117" t="s">
        <v>135</v>
      </c>
      <c r="D18" s="117" t="s">
        <v>136</v>
      </c>
      <c r="E18" s="117" t="s">
        <v>141</v>
      </c>
      <c r="F18" s="117" t="s">
        <v>142</v>
      </c>
      <c r="G18" s="81" t="s">
        <v>15</v>
      </c>
      <c r="H18" s="81" t="s">
        <v>22</v>
      </c>
      <c r="I18" s="81" t="s">
        <v>61</v>
      </c>
      <c r="J18" s="81"/>
      <c r="K18" s="81"/>
      <c r="L18" s="116" t="s">
        <v>106</v>
      </c>
      <c r="M18" s="116"/>
      <c r="N18" s="116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customFormat="false" ht="14.25" hidden="false" customHeight="true" outlineLevel="0" collapsed="false">
      <c r="A19" s="115" t="n">
        <v>45004</v>
      </c>
      <c r="B19" s="116" t="s">
        <v>134</v>
      </c>
      <c r="C19" s="117" t="s">
        <v>135</v>
      </c>
      <c r="D19" s="117" t="s">
        <v>136</v>
      </c>
      <c r="E19" s="117" t="s">
        <v>137</v>
      </c>
      <c r="F19" s="117" t="s">
        <v>143</v>
      </c>
      <c r="G19" s="81" t="s">
        <v>15</v>
      </c>
      <c r="H19" s="81" t="s">
        <v>22</v>
      </c>
      <c r="I19" s="81" t="s">
        <v>61</v>
      </c>
      <c r="J19" s="81"/>
      <c r="K19" s="81"/>
      <c r="L19" s="116" t="s">
        <v>106</v>
      </c>
      <c r="M19" s="116"/>
      <c r="N19" s="116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customFormat="false" ht="14.25" hidden="false" customHeight="true" outlineLevel="0" collapsed="false">
      <c r="A20" s="115" t="n">
        <v>45004</v>
      </c>
      <c r="B20" s="116" t="s">
        <v>134</v>
      </c>
      <c r="C20" s="117" t="s">
        <v>135</v>
      </c>
      <c r="D20" s="117" t="s">
        <v>136</v>
      </c>
      <c r="E20" s="117" t="s">
        <v>104</v>
      </c>
      <c r="F20" s="117" t="s">
        <v>144</v>
      </c>
      <c r="G20" s="81" t="s">
        <v>15</v>
      </c>
      <c r="H20" s="81" t="s">
        <v>22</v>
      </c>
      <c r="I20" s="81" t="s">
        <v>61</v>
      </c>
      <c r="J20" s="81"/>
      <c r="K20" s="81"/>
      <c r="L20" s="116" t="s">
        <v>106</v>
      </c>
      <c r="M20" s="116"/>
      <c r="N20" s="116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customFormat="false" ht="14.25" hidden="false" customHeight="true" outlineLevel="0" collapsed="false">
      <c r="A21" s="115" t="n">
        <v>45004</v>
      </c>
      <c r="B21" s="116" t="s">
        <v>134</v>
      </c>
      <c r="C21" s="117" t="s">
        <v>135</v>
      </c>
      <c r="D21" s="117" t="s">
        <v>136</v>
      </c>
      <c r="E21" s="117" t="s">
        <v>143</v>
      </c>
      <c r="F21" s="117" t="s">
        <v>140</v>
      </c>
      <c r="G21" s="81" t="s">
        <v>15</v>
      </c>
      <c r="H21" s="81" t="s">
        <v>22</v>
      </c>
      <c r="I21" s="81" t="s">
        <v>61</v>
      </c>
      <c r="J21" s="81"/>
      <c r="K21" s="81"/>
      <c r="L21" s="116" t="s">
        <v>106</v>
      </c>
      <c r="M21" s="116"/>
      <c r="N21" s="116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customFormat="false" ht="14.25" hidden="false" customHeight="true" outlineLevel="0" collapsed="false">
      <c r="A22" s="115" t="n">
        <v>45004</v>
      </c>
      <c r="B22" s="116" t="s">
        <v>134</v>
      </c>
      <c r="C22" s="117" t="s">
        <v>135</v>
      </c>
      <c r="D22" s="117" t="s">
        <v>136</v>
      </c>
      <c r="E22" s="117" t="s">
        <v>104</v>
      </c>
      <c r="F22" s="117" t="s">
        <v>141</v>
      </c>
      <c r="G22" s="81" t="s">
        <v>15</v>
      </c>
      <c r="H22" s="81" t="s">
        <v>22</v>
      </c>
      <c r="I22" s="81" t="s">
        <v>61</v>
      </c>
      <c r="J22" s="81"/>
      <c r="K22" s="81"/>
      <c r="L22" s="116" t="s">
        <v>106</v>
      </c>
      <c r="M22" s="116"/>
      <c r="N22" s="116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customFormat="false" ht="14.25" hidden="false" customHeight="true" outlineLevel="0" collapsed="false">
      <c r="A23" s="115" t="n">
        <v>45031</v>
      </c>
      <c r="B23" s="116" t="s">
        <v>101</v>
      </c>
      <c r="C23" s="117" t="s">
        <v>145</v>
      </c>
      <c r="D23" s="117" t="s">
        <v>109</v>
      </c>
      <c r="E23" s="117" t="s">
        <v>109</v>
      </c>
      <c r="F23" s="117" t="s">
        <v>144</v>
      </c>
      <c r="G23" s="81" t="s">
        <v>15</v>
      </c>
      <c r="H23" s="81" t="s">
        <v>22</v>
      </c>
      <c r="I23" s="81" t="s">
        <v>53</v>
      </c>
      <c r="J23" s="81"/>
      <c r="K23" s="81"/>
      <c r="L23" s="116" t="s">
        <v>119</v>
      </c>
      <c r="M23" s="116" t="s">
        <v>111</v>
      </c>
      <c r="N23" s="116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customFormat="false" ht="14.25" hidden="false" customHeight="true" outlineLevel="0" collapsed="false">
      <c r="A24" s="115" t="n">
        <v>45066</v>
      </c>
      <c r="B24" s="116" t="s">
        <v>101</v>
      </c>
      <c r="C24" s="117" t="s">
        <v>146</v>
      </c>
      <c r="D24" s="108" t="s">
        <v>147</v>
      </c>
      <c r="E24" s="117" t="s">
        <v>148</v>
      </c>
      <c r="F24" s="117" t="s">
        <v>149</v>
      </c>
      <c r="G24" s="81" t="s">
        <v>15</v>
      </c>
      <c r="H24" s="81" t="s">
        <v>22</v>
      </c>
      <c r="I24" s="81" t="s">
        <v>53</v>
      </c>
      <c r="J24" s="81"/>
      <c r="K24" s="81"/>
      <c r="L24" s="116" t="s">
        <v>116</v>
      </c>
      <c r="M24" s="116" t="s">
        <v>150</v>
      </c>
      <c r="N24" s="116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customFormat="false" ht="14.25" hidden="false" customHeight="true" outlineLevel="0" collapsed="false">
      <c r="A25" s="115" t="n">
        <v>45066</v>
      </c>
      <c r="B25" s="116" t="s">
        <v>101</v>
      </c>
      <c r="C25" s="117" t="s">
        <v>146</v>
      </c>
      <c r="D25" s="108" t="s">
        <v>147</v>
      </c>
      <c r="E25" s="108" t="s">
        <v>147</v>
      </c>
      <c r="F25" s="117" t="s">
        <v>109</v>
      </c>
      <c r="G25" s="81" t="s">
        <v>15</v>
      </c>
      <c r="H25" s="81" t="s">
        <v>22</v>
      </c>
      <c r="I25" s="81" t="s">
        <v>32</v>
      </c>
      <c r="J25" s="81"/>
      <c r="K25" s="81"/>
      <c r="L25" s="108" t="s">
        <v>119</v>
      </c>
      <c r="M25" s="116" t="s">
        <v>151</v>
      </c>
      <c r="N25" s="116" t="s">
        <v>112</v>
      </c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customFormat="false" ht="14.25" hidden="false" customHeight="true" outlineLevel="0" collapsed="false">
      <c r="A26" s="115" t="n">
        <v>45081</v>
      </c>
      <c r="B26" s="116" t="s">
        <v>101</v>
      </c>
      <c r="C26" s="117" t="s">
        <v>145</v>
      </c>
      <c r="D26" s="117" t="s">
        <v>152</v>
      </c>
      <c r="E26" s="117" t="s">
        <v>153</v>
      </c>
      <c r="F26" s="117" t="s">
        <v>104</v>
      </c>
      <c r="G26" s="81" t="s">
        <v>15</v>
      </c>
      <c r="H26" s="81" t="s">
        <v>22</v>
      </c>
      <c r="I26" s="81" t="s">
        <v>47</v>
      </c>
      <c r="J26" s="81"/>
      <c r="K26" s="81"/>
      <c r="L26" s="108" t="s">
        <v>119</v>
      </c>
      <c r="M26" s="116" t="s">
        <v>120</v>
      </c>
      <c r="N26" s="116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customFormat="false" ht="14.25" hidden="false" customHeight="true" outlineLevel="0" collapsed="false">
      <c r="A27" s="118" t="s">
        <v>154</v>
      </c>
      <c r="B27" s="119" t="s">
        <v>155</v>
      </c>
      <c r="C27" s="119" t="s">
        <v>156</v>
      </c>
      <c r="D27" s="119" t="s">
        <v>157</v>
      </c>
      <c r="E27" s="119" t="s">
        <v>158</v>
      </c>
      <c r="F27" s="119" t="s">
        <v>159</v>
      </c>
      <c r="G27" s="119" t="s">
        <v>15</v>
      </c>
      <c r="H27" s="119" t="s">
        <v>23</v>
      </c>
      <c r="I27" s="108" t="s">
        <v>38</v>
      </c>
      <c r="J27" s="108"/>
      <c r="K27" s="108"/>
      <c r="L27" s="119" t="s">
        <v>116</v>
      </c>
      <c r="M27" s="119" t="s">
        <v>160</v>
      </c>
      <c r="N27" s="119" t="s">
        <v>161</v>
      </c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customFormat="false" ht="14.25" hidden="false" customHeight="true" outlineLevel="0" collapsed="false">
      <c r="A28" s="118" t="s">
        <v>154</v>
      </c>
      <c r="B28" s="119" t="s">
        <v>155</v>
      </c>
      <c r="C28" s="119" t="s">
        <v>156</v>
      </c>
      <c r="D28" s="119" t="s">
        <v>157</v>
      </c>
      <c r="E28" s="119" t="s">
        <v>162</v>
      </c>
      <c r="F28" s="119" t="s">
        <v>163</v>
      </c>
      <c r="G28" s="119" t="s">
        <v>15</v>
      </c>
      <c r="H28" s="119" t="s">
        <v>22</v>
      </c>
      <c r="I28" s="108" t="s">
        <v>38</v>
      </c>
      <c r="J28" s="108"/>
      <c r="K28" s="108"/>
      <c r="L28" s="119" t="s">
        <v>116</v>
      </c>
      <c r="M28" s="119" t="s">
        <v>160</v>
      </c>
      <c r="N28" s="119" t="s">
        <v>161</v>
      </c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customFormat="false" ht="14.25" hidden="false" customHeight="true" outlineLevel="0" collapsed="false">
      <c r="A29" s="118" t="s">
        <v>154</v>
      </c>
      <c r="B29" s="119" t="s">
        <v>155</v>
      </c>
      <c r="C29" s="119" t="s">
        <v>156</v>
      </c>
      <c r="D29" s="119" t="s">
        <v>157</v>
      </c>
      <c r="E29" s="119" t="s">
        <v>164</v>
      </c>
      <c r="F29" s="119" t="s">
        <v>165</v>
      </c>
      <c r="G29" s="119" t="s">
        <v>15</v>
      </c>
      <c r="H29" s="119" t="s">
        <v>22</v>
      </c>
      <c r="I29" s="108" t="s">
        <v>30</v>
      </c>
      <c r="J29" s="108"/>
      <c r="K29" s="108"/>
      <c r="L29" s="119" t="s">
        <v>116</v>
      </c>
      <c r="M29" s="119" t="s">
        <v>160</v>
      </c>
      <c r="N29" s="116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customFormat="false" ht="14.25" hidden="false" customHeight="true" outlineLevel="0" collapsed="false">
      <c r="A30" s="118" t="s">
        <v>154</v>
      </c>
      <c r="B30" s="119" t="s">
        <v>155</v>
      </c>
      <c r="C30" s="119" t="s">
        <v>156</v>
      </c>
      <c r="D30" s="119" t="s">
        <v>157</v>
      </c>
      <c r="E30" s="119" t="s">
        <v>162</v>
      </c>
      <c r="F30" s="119" t="s">
        <v>166</v>
      </c>
      <c r="G30" s="119" t="s">
        <v>15</v>
      </c>
      <c r="H30" s="119" t="s">
        <v>22</v>
      </c>
      <c r="I30" s="108" t="s">
        <v>32</v>
      </c>
      <c r="J30" s="108"/>
      <c r="K30" s="108"/>
      <c r="L30" s="119" t="s">
        <v>119</v>
      </c>
      <c r="M30" s="119" t="s">
        <v>167</v>
      </c>
      <c r="N30" s="116" t="s">
        <v>112</v>
      </c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customFormat="false" ht="14.25" hidden="false" customHeight="true" outlineLevel="0" collapsed="false">
      <c r="A31" s="118" t="s">
        <v>154</v>
      </c>
      <c r="B31" s="119" t="s">
        <v>155</v>
      </c>
      <c r="C31" s="119" t="s">
        <v>156</v>
      </c>
      <c r="D31" s="119" t="s">
        <v>157</v>
      </c>
      <c r="E31" s="119" t="s">
        <v>168</v>
      </c>
      <c r="F31" s="119" t="s">
        <v>169</v>
      </c>
      <c r="G31" s="119" t="s">
        <v>23</v>
      </c>
      <c r="H31" s="119" t="s">
        <v>23</v>
      </c>
      <c r="I31" s="108" t="s">
        <v>30</v>
      </c>
      <c r="J31" s="108"/>
      <c r="K31" s="108"/>
      <c r="L31" s="119" t="s">
        <v>116</v>
      </c>
      <c r="M31" s="119" t="s">
        <v>170</v>
      </c>
      <c r="N31" s="116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customFormat="false" ht="14.25" hidden="false" customHeight="true" outlineLevel="0" collapsed="false">
      <c r="A32" s="118" t="s">
        <v>154</v>
      </c>
      <c r="B32" s="119" t="s">
        <v>155</v>
      </c>
      <c r="C32" s="119" t="s">
        <v>156</v>
      </c>
      <c r="D32" s="119" t="s">
        <v>157</v>
      </c>
      <c r="E32" s="119" t="s">
        <v>171</v>
      </c>
      <c r="F32" s="119" t="s">
        <v>172</v>
      </c>
      <c r="G32" s="119" t="s">
        <v>15</v>
      </c>
      <c r="H32" s="119" t="s">
        <v>22</v>
      </c>
      <c r="I32" s="108" t="s">
        <v>38</v>
      </c>
      <c r="J32" s="108"/>
      <c r="K32" s="108"/>
      <c r="L32" s="119" t="s">
        <v>119</v>
      </c>
      <c r="M32" s="119" t="s">
        <v>167</v>
      </c>
      <c r="N32" s="116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customFormat="false" ht="14.25" hidden="false" customHeight="true" outlineLevel="0" collapsed="false">
      <c r="A33" s="118" t="s">
        <v>173</v>
      </c>
      <c r="B33" s="119" t="s">
        <v>155</v>
      </c>
      <c r="C33" s="119" t="s">
        <v>156</v>
      </c>
      <c r="D33" s="119" t="s">
        <v>157</v>
      </c>
      <c r="E33" s="119" t="s">
        <v>164</v>
      </c>
      <c r="F33" s="119" t="s">
        <v>165</v>
      </c>
      <c r="G33" s="119" t="s">
        <v>15</v>
      </c>
      <c r="H33" s="119" t="s">
        <v>22</v>
      </c>
      <c r="I33" s="108" t="s">
        <v>38</v>
      </c>
      <c r="J33" s="108"/>
      <c r="K33" s="108"/>
      <c r="L33" s="119" t="s">
        <v>116</v>
      </c>
      <c r="M33" s="119" t="s">
        <v>160</v>
      </c>
      <c r="N33" s="116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customFormat="false" ht="14.25" hidden="false" customHeight="true" outlineLevel="0" collapsed="false">
      <c r="A34" s="118" t="s">
        <v>173</v>
      </c>
      <c r="B34" s="119" t="s">
        <v>155</v>
      </c>
      <c r="C34" s="119" t="s">
        <v>156</v>
      </c>
      <c r="D34" s="119" t="s">
        <v>157</v>
      </c>
      <c r="E34" s="119" t="s">
        <v>158</v>
      </c>
      <c r="F34" s="119" t="s">
        <v>174</v>
      </c>
      <c r="G34" s="119" t="s">
        <v>15</v>
      </c>
      <c r="H34" s="119" t="s">
        <v>23</v>
      </c>
      <c r="I34" s="108" t="s">
        <v>38</v>
      </c>
      <c r="J34" s="108"/>
      <c r="K34" s="108"/>
      <c r="L34" s="119" t="s">
        <v>116</v>
      </c>
      <c r="M34" s="119" t="s">
        <v>160</v>
      </c>
      <c r="N34" s="116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customFormat="false" ht="14.25" hidden="false" customHeight="true" outlineLevel="0" collapsed="false">
      <c r="A35" s="118" t="s">
        <v>173</v>
      </c>
      <c r="B35" s="119" t="s">
        <v>155</v>
      </c>
      <c r="C35" s="119" t="s">
        <v>156</v>
      </c>
      <c r="D35" s="119" t="s">
        <v>157</v>
      </c>
      <c r="E35" s="119" t="s">
        <v>175</v>
      </c>
      <c r="F35" s="119" t="s">
        <v>158</v>
      </c>
      <c r="G35" s="119" t="s">
        <v>15</v>
      </c>
      <c r="H35" s="119" t="s">
        <v>23</v>
      </c>
      <c r="I35" s="108" t="s">
        <v>38</v>
      </c>
      <c r="J35" s="108"/>
      <c r="K35" s="108"/>
      <c r="L35" s="119" t="s">
        <v>176</v>
      </c>
      <c r="M35" s="119" t="s">
        <v>177</v>
      </c>
      <c r="N35" s="116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customFormat="false" ht="14.25" hidden="false" customHeight="true" outlineLevel="0" collapsed="false">
      <c r="A36" s="118" t="s">
        <v>178</v>
      </c>
      <c r="B36" s="119" t="s">
        <v>179</v>
      </c>
      <c r="C36" s="119" t="s">
        <v>180</v>
      </c>
      <c r="D36" s="119" t="s">
        <v>8</v>
      </c>
      <c r="E36" s="119" t="s">
        <v>181</v>
      </c>
      <c r="F36" s="119" t="s">
        <v>182</v>
      </c>
      <c r="G36" s="119" t="s">
        <v>15</v>
      </c>
      <c r="H36" s="119" t="s">
        <v>23</v>
      </c>
      <c r="I36" s="108" t="s">
        <v>30</v>
      </c>
      <c r="J36" s="108"/>
      <c r="K36" s="108"/>
      <c r="L36" s="119" t="s">
        <v>176</v>
      </c>
      <c r="M36" s="119" t="s">
        <v>125</v>
      </c>
      <c r="N36" s="116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customFormat="false" ht="14.25" hidden="false" customHeight="true" outlineLevel="0" collapsed="false">
      <c r="A37" s="115" t="n">
        <v>45144</v>
      </c>
      <c r="B37" s="116" t="s">
        <v>101</v>
      </c>
      <c r="C37" s="117" t="s">
        <v>145</v>
      </c>
      <c r="D37" s="117" t="s">
        <v>109</v>
      </c>
      <c r="E37" s="117" t="s">
        <v>139</v>
      </c>
      <c r="F37" s="117" t="s">
        <v>103</v>
      </c>
      <c r="G37" s="81" t="s">
        <v>15</v>
      </c>
      <c r="H37" s="81" t="s">
        <v>22</v>
      </c>
      <c r="I37" s="81" t="s">
        <v>49</v>
      </c>
      <c r="J37" s="81"/>
      <c r="K37" s="81"/>
      <c r="L37" s="116" t="s">
        <v>183</v>
      </c>
      <c r="M37" s="116" t="s">
        <v>184</v>
      </c>
      <c r="N37" s="116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customFormat="false" ht="15.75" hidden="false" customHeight="true" outlineLevel="0" collapsed="false">
      <c r="A38" s="115" t="n">
        <v>45144</v>
      </c>
      <c r="B38" s="116" t="s">
        <v>101</v>
      </c>
      <c r="C38" s="117" t="s">
        <v>145</v>
      </c>
      <c r="D38" s="117" t="s">
        <v>109</v>
      </c>
      <c r="E38" s="108" t="s">
        <v>147</v>
      </c>
      <c r="F38" s="108" t="s">
        <v>185</v>
      </c>
      <c r="G38" s="108" t="s">
        <v>15</v>
      </c>
      <c r="H38" s="108" t="s">
        <v>22</v>
      </c>
      <c r="I38" s="108" t="s">
        <v>47</v>
      </c>
      <c r="J38" s="108"/>
      <c r="K38" s="108"/>
      <c r="L38" s="108" t="s">
        <v>124</v>
      </c>
      <c r="M38" s="108" t="s">
        <v>151</v>
      </c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customFormat="false" ht="15.75" hidden="false" customHeight="true" outlineLevel="0" collapsed="false">
      <c r="A39" s="115" t="n">
        <v>45158</v>
      </c>
      <c r="B39" s="116" t="s">
        <v>186</v>
      </c>
      <c r="C39" s="117" t="s">
        <v>180</v>
      </c>
      <c r="D39" s="117" t="s">
        <v>8</v>
      </c>
      <c r="E39" s="108" t="s">
        <v>187</v>
      </c>
      <c r="F39" s="108" t="s">
        <v>182</v>
      </c>
      <c r="G39" s="108" t="s">
        <v>15</v>
      </c>
      <c r="H39" s="108" t="s">
        <v>23</v>
      </c>
      <c r="I39" s="108" t="s">
        <v>30</v>
      </c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customFormat="false" ht="15.75" hidden="false" customHeight="true" outlineLevel="0" collapsed="false">
      <c r="A40" s="120" t="n">
        <v>45178</v>
      </c>
      <c r="B40" s="108" t="s">
        <v>101</v>
      </c>
      <c r="C40" s="108" t="s">
        <v>188</v>
      </c>
      <c r="D40" s="108" t="s">
        <v>189</v>
      </c>
      <c r="E40" s="108" t="s">
        <v>190</v>
      </c>
      <c r="F40" s="108" t="s">
        <v>144</v>
      </c>
      <c r="G40" s="108" t="s">
        <v>15</v>
      </c>
      <c r="H40" s="108" t="s">
        <v>22</v>
      </c>
      <c r="I40" s="108" t="s">
        <v>53</v>
      </c>
      <c r="J40" s="108"/>
      <c r="K40" s="108"/>
      <c r="L40" s="108" t="s">
        <v>106</v>
      </c>
      <c r="M40" s="108" t="s">
        <v>120</v>
      </c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customFormat="false" ht="15.75" hidden="false" customHeight="true" outlineLevel="0" collapsed="false">
      <c r="A41" s="120" t="n">
        <v>45178</v>
      </c>
      <c r="B41" s="108" t="s">
        <v>101</v>
      </c>
      <c r="C41" s="108" t="s">
        <v>188</v>
      </c>
      <c r="D41" s="108" t="s">
        <v>189</v>
      </c>
      <c r="E41" s="108" t="s">
        <v>153</v>
      </c>
      <c r="F41" s="108" t="s">
        <v>109</v>
      </c>
      <c r="G41" s="108" t="s">
        <v>15</v>
      </c>
      <c r="H41" s="108" t="s">
        <v>22</v>
      </c>
      <c r="I41" s="108" t="s">
        <v>53</v>
      </c>
      <c r="J41" s="108"/>
      <c r="K41" s="108"/>
      <c r="L41" s="108" t="s">
        <v>116</v>
      </c>
      <c r="M41" s="108" t="s">
        <v>151</v>
      </c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customFormat="false" ht="15.75" hidden="false" customHeight="true" outlineLevel="0" collapsed="false">
      <c r="A42" s="120" t="n">
        <v>45220</v>
      </c>
      <c r="B42" s="108" t="s">
        <v>101</v>
      </c>
      <c r="C42" s="108" t="s">
        <v>114</v>
      </c>
      <c r="D42" s="108" t="s">
        <v>103</v>
      </c>
      <c r="E42" s="108" t="s">
        <v>104</v>
      </c>
      <c r="F42" s="108" t="s">
        <v>109</v>
      </c>
      <c r="G42" s="108" t="s">
        <v>15</v>
      </c>
      <c r="H42" s="108" t="s">
        <v>22</v>
      </c>
      <c r="I42" s="108" t="s">
        <v>53</v>
      </c>
      <c r="J42" s="108"/>
      <c r="K42" s="108"/>
      <c r="L42" s="108" t="s">
        <v>183</v>
      </c>
      <c r="M42" s="108" t="s">
        <v>120</v>
      </c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customFormat="false" ht="15.75" hidden="false" customHeight="true" outlineLevel="0" collapsed="false">
      <c r="A43" s="120" t="n">
        <v>45360</v>
      </c>
      <c r="B43" s="108" t="s">
        <v>191</v>
      </c>
      <c r="C43" s="108" t="s">
        <v>108</v>
      </c>
      <c r="D43" s="108" t="s">
        <v>109</v>
      </c>
      <c r="E43" s="108" t="s">
        <v>192</v>
      </c>
      <c r="F43" s="108" t="s">
        <v>193</v>
      </c>
      <c r="G43" s="108" t="s">
        <v>15</v>
      </c>
      <c r="H43" s="108" t="s">
        <v>23</v>
      </c>
      <c r="I43" s="108" t="s">
        <v>42</v>
      </c>
      <c r="J43" s="108"/>
      <c r="K43" s="108"/>
      <c r="L43" s="108" t="s">
        <v>124</v>
      </c>
      <c r="M43" s="108" t="s">
        <v>184</v>
      </c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customFormat="false" ht="15.75" hidden="false" customHeight="true" outlineLevel="0" collapsed="false">
      <c r="A44" s="120" t="n">
        <v>45360</v>
      </c>
      <c r="B44" s="108" t="s">
        <v>191</v>
      </c>
      <c r="C44" s="108" t="s">
        <v>108</v>
      </c>
      <c r="D44" s="108" t="s">
        <v>109</v>
      </c>
      <c r="E44" s="108" t="s">
        <v>194</v>
      </c>
      <c r="F44" s="108" t="s">
        <v>195</v>
      </c>
      <c r="G44" s="108" t="s">
        <v>15</v>
      </c>
      <c r="H44" s="108" t="s">
        <v>23</v>
      </c>
      <c r="I44" s="108" t="s">
        <v>30</v>
      </c>
      <c r="J44" s="108"/>
      <c r="K44" s="108"/>
      <c r="L44" s="108" t="s">
        <v>124</v>
      </c>
      <c r="M44" s="108" t="s">
        <v>184</v>
      </c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customFormat="false" ht="15.75" hidden="false" customHeight="true" outlineLevel="0" collapsed="false">
      <c r="A45" s="120" t="n">
        <v>45552</v>
      </c>
      <c r="B45" s="108" t="s">
        <v>196</v>
      </c>
      <c r="C45" s="108" t="s">
        <v>180</v>
      </c>
      <c r="D45" s="108" t="s">
        <v>8</v>
      </c>
      <c r="E45" s="108" t="s">
        <v>187</v>
      </c>
      <c r="F45" s="108" t="s">
        <v>181</v>
      </c>
      <c r="G45" s="108" t="s">
        <v>15</v>
      </c>
      <c r="H45" s="108" t="s">
        <v>23</v>
      </c>
      <c r="I45" s="108" t="s">
        <v>38</v>
      </c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customFormat="false" ht="15.75" hidden="false" customHeight="true" outlineLevel="0" collapsed="false">
      <c r="A46" s="118" t="s">
        <v>197</v>
      </c>
      <c r="B46" s="118" t="s">
        <v>198</v>
      </c>
      <c r="C46" s="118" t="s">
        <v>180</v>
      </c>
      <c r="D46" s="118" t="s">
        <v>8</v>
      </c>
      <c r="E46" s="118" t="s">
        <v>199</v>
      </c>
      <c r="F46" s="118" t="s">
        <v>200</v>
      </c>
      <c r="G46" s="118" t="s">
        <v>15</v>
      </c>
      <c r="H46" s="118" t="s">
        <v>21</v>
      </c>
      <c r="I46" s="108" t="s">
        <v>30</v>
      </c>
      <c r="J46" s="108"/>
      <c r="K46" s="108"/>
      <c r="L46" s="118" t="s">
        <v>201</v>
      </c>
      <c r="M46" s="118" t="s">
        <v>202</v>
      </c>
      <c r="N46" s="118" t="s">
        <v>203</v>
      </c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customFormat="false" ht="15.75" hidden="false" customHeight="true" outlineLevel="0" collapsed="false">
      <c r="A47" s="118" t="s">
        <v>197</v>
      </c>
      <c r="B47" s="118" t="s">
        <v>198</v>
      </c>
      <c r="C47" s="118" t="s">
        <v>180</v>
      </c>
      <c r="D47" s="118" t="s">
        <v>8</v>
      </c>
      <c r="E47" s="118" t="s">
        <v>204</v>
      </c>
      <c r="F47" s="118" t="s">
        <v>205</v>
      </c>
      <c r="G47" s="118" t="s">
        <v>15</v>
      </c>
      <c r="H47" s="118" t="s">
        <v>21</v>
      </c>
      <c r="I47" s="108" t="s">
        <v>38</v>
      </c>
      <c r="J47" s="108"/>
      <c r="K47" s="108"/>
      <c r="L47" s="118" t="s">
        <v>119</v>
      </c>
      <c r="M47" s="118" t="s">
        <v>125</v>
      </c>
      <c r="N47" s="118" t="s">
        <v>203</v>
      </c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customFormat="false" ht="15.75" hidden="false" customHeight="true" outlineLevel="0" collapsed="false">
      <c r="A48" s="118" t="s">
        <v>197</v>
      </c>
      <c r="B48" s="118" t="s">
        <v>198</v>
      </c>
      <c r="C48" s="118" t="s">
        <v>180</v>
      </c>
      <c r="D48" s="118" t="s">
        <v>8</v>
      </c>
      <c r="E48" s="118" t="s">
        <v>206</v>
      </c>
      <c r="F48" s="118" t="s">
        <v>199</v>
      </c>
      <c r="G48" s="118" t="s">
        <v>15</v>
      </c>
      <c r="H48" s="118" t="s">
        <v>21</v>
      </c>
      <c r="I48" s="108" t="s">
        <v>38</v>
      </c>
      <c r="J48" s="108"/>
      <c r="K48" s="108"/>
      <c r="L48" s="118" t="s">
        <v>207</v>
      </c>
      <c r="M48" s="118" t="s">
        <v>167</v>
      </c>
      <c r="N48" s="118" t="s">
        <v>203</v>
      </c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customFormat="false" ht="15.75" hidden="false" customHeight="true" outlineLevel="0" collapsed="false">
      <c r="A49" s="118" t="s">
        <v>208</v>
      </c>
      <c r="B49" s="118" t="s">
        <v>198</v>
      </c>
      <c r="C49" s="118" t="s">
        <v>180</v>
      </c>
      <c r="D49" s="118" t="s">
        <v>8</v>
      </c>
      <c r="E49" s="118" t="s">
        <v>199</v>
      </c>
      <c r="F49" s="118" t="s">
        <v>205</v>
      </c>
      <c r="G49" s="118" t="s">
        <v>15</v>
      </c>
      <c r="H49" s="118" t="s">
        <v>21</v>
      </c>
      <c r="I49" s="108" t="s">
        <v>49</v>
      </c>
      <c r="J49" s="108"/>
      <c r="K49" s="108"/>
      <c r="L49" s="118" t="s">
        <v>106</v>
      </c>
      <c r="M49" s="118" t="s">
        <v>202</v>
      </c>
      <c r="N49" s="118" t="s">
        <v>203</v>
      </c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customFormat="false" ht="15.75" hidden="false" customHeight="true" outlineLevel="0" collapsed="false">
      <c r="A50" s="118" t="s">
        <v>208</v>
      </c>
      <c r="B50" s="118" t="s">
        <v>198</v>
      </c>
      <c r="C50" s="118" t="s">
        <v>180</v>
      </c>
      <c r="D50" s="118" t="s">
        <v>8</v>
      </c>
      <c r="E50" s="118" t="s">
        <v>200</v>
      </c>
      <c r="F50" s="118" t="s">
        <v>204</v>
      </c>
      <c r="G50" s="118" t="s">
        <v>15</v>
      </c>
      <c r="H50" s="118" t="s">
        <v>21</v>
      </c>
      <c r="I50" s="108" t="s">
        <v>30</v>
      </c>
      <c r="J50" s="108"/>
      <c r="K50" s="108"/>
      <c r="L50" s="118" t="s">
        <v>209</v>
      </c>
      <c r="M50" s="118" t="s">
        <v>167</v>
      </c>
      <c r="N50" s="118" t="s">
        <v>203</v>
      </c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customFormat="false" ht="15.75" hidden="false" customHeight="true" outlineLevel="0" collapsed="false">
      <c r="A51" s="118" t="s">
        <v>208</v>
      </c>
      <c r="B51" s="118" t="s">
        <v>198</v>
      </c>
      <c r="C51" s="118" t="s">
        <v>180</v>
      </c>
      <c r="D51" s="118" t="s">
        <v>8</v>
      </c>
      <c r="E51" s="118" t="s">
        <v>210</v>
      </c>
      <c r="F51" s="118" t="s">
        <v>199</v>
      </c>
      <c r="G51" s="118" t="s">
        <v>15</v>
      </c>
      <c r="H51" s="118" t="s">
        <v>21</v>
      </c>
      <c r="I51" s="108" t="s">
        <v>38</v>
      </c>
      <c r="J51" s="108"/>
      <c r="K51" s="108"/>
      <c r="L51" s="118" t="s">
        <v>124</v>
      </c>
      <c r="M51" s="118" t="s">
        <v>125</v>
      </c>
      <c r="N51" s="118" t="s">
        <v>203</v>
      </c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customFormat="false" ht="15.75" hidden="false" customHeight="true" outlineLevel="0" collapsed="false">
      <c r="A52" s="118" t="s">
        <v>211</v>
      </c>
      <c r="B52" s="118" t="s">
        <v>198</v>
      </c>
      <c r="C52" s="118" t="s">
        <v>180</v>
      </c>
      <c r="D52" s="118" t="s">
        <v>8</v>
      </c>
      <c r="E52" s="118" t="s">
        <v>204</v>
      </c>
      <c r="F52" s="118" t="s">
        <v>199</v>
      </c>
      <c r="G52" s="118" t="s">
        <v>15</v>
      </c>
      <c r="H52" s="118" t="s">
        <v>21</v>
      </c>
      <c r="I52" s="108" t="s">
        <v>38</v>
      </c>
      <c r="J52" s="108"/>
      <c r="K52" s="108"/>
      <c r="L52" s="118" t="s">
        <v>119</v>
      </c>
      <c r="M52" s="118" t="s">
        <v>167</v>
      </c>
      <c r="N52" s="118" t="s">
        <v>203</v>
      </c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customFormat="false" ht="15.75" hidden="false" customHeight="true" outlineLevel="0" collapsed="false">
      <c r="A53" s="120" t="n">
        <v>45402</v>
      </c>
      <c r="B53" s="108" t="s">
        <v>212</v>
      </c>
      <c r="C53" s="108" t="s">
        <v>213</v>
      </c>
      <c r="D53" s="108" t="s">
        <v>157</v>
      </c>
      <c r="E53" s="108" t="s">
        <v>214</v>
      </c>
      <c r="F53" s="108" t="s">
        <v>215</v>
      </c>
      <c r="G53" s="108" t="s">
        <v>15</v>
      </c>
      <c r="H53" s="108" t="s">
        <v>22</v>
      </c>
      <c r="I53" s="108" t="s">
        <v>30</v>
      </c>
      <c r="J53" s="108"/>
      <c r="K53" s="108"/>
      <c r="L53" s="108" t="s">
        <v>183</v>
      </c>
      <c r="M53" s="108" t="s">
        <v>117</v>
      </c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customFormat="false" ht="15.75" hidden="false" customHeight="true" outlineLevel="0" collapsed="false">
      <c r="A54" s="120" t="n">
        <v>45409</v>
      </c>
      <c r="B54" s="108" t="s">
        <v>216</v>
      </c>
      <c r="C54" s="108" t="s">
        <v>217</v>
      </c>
      <c r="D54" s="108" t="s">
        <v>110</v>
      </c>
      <c r="E54" s="108" t="s">
        <v>171</v>
      </c>
      <c r="F54" s="108" t="s">
        <v>218</v>
      </c>
      <c r="G54" s="108" t="s">
        <v>15</v>
      </c>
      <c r="H54" s="108" t="s">
        <v>22</v>
      </c>
      <c r="I54" s="108" t="s">
        <v>61</v>
      </c>
      <c r="J54" s="108"/>
      <c r="K54" s="108"/>
      <c r="L54" s="108" t="s">
        <v>219</v>
      </c>
      <c r="M54" s="108" t="s">
        <v>150</v>
      </c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customFormat="false" ht="15.75" hidden="false" customHeight="true" outlineLevel="0" collapsed="false">
      <c r="A55" s="120" t="n">
        <v>45409</v>
      </c>
      <c r="B55" s="108" t="s">
        <v>216</v>
      </c>
      <c r="C55" s="108" t="s">
        <v>217</v>
      </c>
      <c r="D55" s="108" t="s">
        <v>110</v>
      </c>
      <c r="E55" s="118" t="s">
        <v>220</v>
      </c>
      <c r="F55" s="118" t="s">
        <v>221</v>
      </c>
      <c r="G55" s="108" t="s">
        <v>15</v>
      </c>
      <c r="H55" s="108" t="s">
        <v>22</v>
      </c>
      <c r="I55" s="108" t="s">
        <v>49</v>
      </c>
      <c r="J55" s="108"/>
      <c r="K55" s="108"/>
      <c r="L55" s="118" t="s">
        <v>106</v>
      </c>
      <c r="M55" s="118" t="s">
        <v>184</v>
      </c>
      <c r="N55" s="11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customFormat="false" ht="15.75" hidden="false" customHeight="true" outlineLevel="0" collapsed="false">
      <c r="A56" s="120" t="n">
        <v>45438</v>
      </c>
      <c r="B56" s="108" t="s">
        <v>222</v>
      </c>
      <c r="C56" s="108" t="s">
        <v>156</v>
      </c>
      <c r="D56" s="108" t="s">
        <v>103</v>
      </c>
      <c r="E56" s="108" t="s">
        <v>220</v>
      </c>
      <c r="F56" s="108" t="s">
        <v>223</v>
      </c>
      <c r="G56" s="108" t="s">
        <v>15</v>
      </c>
      <c r="H56" s="108" t="s">
        <v>22</v>
      </c>
      <c r="I56" s="108" t="s">
        <v>38</v>
      </c>
      <c r="J56" s="108"/>
      <c r="K56" s="108"/>
      <c r="L56" s="108" t="s">
        <v>119</v>
      </c>
      <c r="M56" s="108" t="s">
        <v>167</v>
      </c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customFormat="false" ht="15.75" hidden="false" customHeight="true" outlineLevel="0" collapsed="false">
      <c r="A57" s="120" t="n">
        <v>45438</v>
      </c>
      <c r="B57" s="108" t="s">
        <v>222</v>
      </c>
      <c r="C57" s="108" t="s">
        <v>156</v>
      </c>
      <c r="D57" s="108" t="s">
        <v>103</v>
      </c>
      <c r="E57" s="108" t="s">
        <v>103</v>
      </c>
      <c r="F57" s="108" t="s">
        <v>221</v>
      </c>
      <c r="G57" s="108" t="s">
        <v>15</v>
      </c>
      <c r="H57" s="108" t="s">
        <v>22</v>
      </c>
      <c r="I57" s="108" t="s">
        <v>47</v>
      </c>
      <c r="J57" s="108"/>
      <c r="K57" s="108"/>
      <c r="L57" s="108" t="s">
        <v>219</v>
      </c>
      <c r="M57" s="108" t="s">
        <v>150</v>
      </c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customFormat="false" ht="15.75" hidden="false" customHeight="true" outlineLevel="0" collapsed="false">
      <c r="A58" s="118" t="s">
        <v>224</v>
      </c>
      <c r="B58" s="118" t="s">
        <v>225</v>
      </c>
      <c r="C58" s="118" t="s">
        <v>226</v>
      </c>
      <c r="D58" s="118" t="s">
        <v>227</v>
      </c>
      <c r="E58" s="118" t="s">
        <v>228</v>
      </c>
      <c r="F58" s="118" t="s">
        <v>229</v>
      </c>
      <c r="G58" s="118" t="s">
        <v>15</v>
      </c>
      <c r="H58" s="118" t="s">
        <v>22</v>
      </c>
      <c r="I58" s="108" t="s">
        <v>38</v>
      </c>
      <c r="J58" s="108"/>
      <c r="K58" s="108"/>
      <c r="L58" s="118" t="s">
        <v>119</v>
      </c>
      <c r="M58" s="118" t="s">
        <v>151</v>
      </c>
      <c r="N58" s="118" t="s">
        <v>230</v>
      </c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customFormat="false" ht="15.75" hidden="false" customHeight="true" outlineLevel="0" collapsed="false">
      <c r="A59" s="118" t="s">
        <v>224</v>
      </c>
      <c r="B59" s="118" t="s">
        <v>225</v>
      </c>
      <c r="C59" s="118" t="s">
        <v>226</v>
      </c>
      <c r="D59" s="118" t="s">
        <v>227</v>
      </c>
      <c r="E59" s="118" t="s">
        <v>231</v>
      </c>
      <c r="F59" s="118" t="s">
        <v>232</v>
      </c>
      <c r="G59" s="118" t="s">
        <v>15</v>
      </c>
      <c r="H59" s="118" t="s">
        <v>21</v>
      </c>
      <c r="I59" s="108" t="s">
        <v>53</v>
      </c>
      <c r="J59" s="108"/>
      <c r="K59" s="108"/>
      <c r="L59" s="118" t="s">
        <v>201</v>
      </c>
      <c r="M59" s="118" t="s">
        <v>233</v>
      </c>
      <c r="N59" s="118" t="s">
        <v>230</v>
      </c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customFormat="false" ht="15.75" hidden="false" customHeight="true" outlineLevel="0" collapsed="false">
      <c r="A60" s="118" t="s">
        <v>224</v>
      </c>
      <c r="B60" s="118" t="s">
        <v>225</v>
      </c>
      <c r="C60" s="118" t="s">
        <v>226</v>
      </c>
      <c r="D60" s="118" t="s">
        <v>227</v>
      </c>
      <c r="E60" s="118" t="s">
        <v>234</v>
      </c>
      <c r="F60" s="118" t="s">
        <v>235</v>
      </c>
      <c r="G60" s="118" t="s">
        <v>15</v>
      </c>
      <c r="H60" s="118" t="s">
        <v>22</v>
      </c>
      <c r="I60" s="108" t="s">
        <v>38</v>
      </c>
      <c r="J60" s="108"/>
      <c r="K60" s="108"/>
      <c r="L60" s="118" t="s">
        <v>119</v>
      </c>
      <c r="M60" s="118" t="s">
        <v>151</v>
      </c>
      <c r="N60" s="118" t="s">
        <v>230</v>
      </c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customFormat="false" ht="15.75" hidden="false" customHeight="true" outlineLevel="0" collapsed="false">
      <c r="A61" s="118" t="s">
        <v>224</v>
      </c>
      <c r="B61" s="118" t="s">
        <v>225</v>
      </c>
      <c r="C61" s="118" t="s">
        <v>226</v>
      </c>
      <c r="D61" s="118" t="s">
        <v>227</v>
      </c>
      <c r="E61" s="118" t="s">
        <v>236</v>
      </c>
      <c r="F61" s="118" t="s">
        <v>237</v>
      </c>
      <c r="G61" s="118" t="s">
        <v>15</v>
      </c>
      <c r="H61" s="118" t="s">
        <v>20</v>
      </c>
      <c r="I61" s="108" t="s">
        <v>53</v>
      </c>
      <c r="J61" s="108"/>
      <c r="K61" s="108"/>
      <c r="L61" s="118" t="s">
        <v>201</v>
      </c>
      <c r="M61" s="118" t="s">
        <v>233</v>
      </c>
      <c r="N61" s="118" t="s">
        <v>230</v>
      </c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customFormat="false" ht="15.75" hidden="false" customHeight="true" outlineLevel="0" collapsed="false">
      <c r="A62" s="118" t="s">
        <v>238</v>
      </c>
      <c r="B62" s="118" t="s">
        <v>225</v>
      </c>
      <c r="C62" s="118" t="s">
        <v>226</v>
      </c>
      <c r="D62" s="118" t="s">
        <v>227</v>
      </c>
      <c r="E62" s="118" t="s">
        <v>239</v>
      </c>
      <c r="F62" s="118" t="s">
        <v>240</v>
      </c>
      <c r="G62" s="118" t="s">
        <v>15</v>
      </c>
      <c r="H62" s="118" t="s">
        <v>20</v>
      </c>
      <c r="I62" s="108" t="s">
        <v>38</v>
      </c>
      <c r="J62" s="108"/>
      <c r="K62" s="108"/>
      <c r="L62" s="118" t="s">
        <v>119</v>
      </c>
      <c r="M62" s="118" t="s">
        <v>151</v>
      </c>
      <c r="N62" s="118" t="s">
        <v>230</v>
      </c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customFormat="false" ht="15.75" hidden="false" customHeight="true" outlineLevel="0" collapsed="false">
      <c r="A63" s="118" t="s">
        <v>238</v>
      </c>
      <c r="B63" s="118" t="s">
        <v>225</v>
      </c>
      <c r="C63" s="118" t="s">
        <v>226</v>
      </c>
      <c r="D63" s="118" t="s">
        <v>227</v>
      </c>
      <c r="E63" s="118" t="s">
        <v>241</v>
      </c>
      <c r="F63" s="118" t="s">
        <v>242</v>
      </c>
      <c r="G63" s="118" t="s">
        <v>15</v>
      </c>
      <c r="H63" s="118" t="s">
        <v>20</v>
      </c>
      <c r="I63" s="108" t="s">
        <v>53</v>
      </c>
      <c r="J63" s="108"/>
      <c r="K63" s="108"/>
      <c r="L63" s="118" t="s">
        <v>201</v>
      </c>
      <c r="M63" s="118" t="s">
        <v>233</v>
      </c>
      <c r="N63" s="118" t="s">
        <v>230</v>
      </c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customFormat="false" ht="15.75" hidden="false" customHeight="true" outlineLevel="0" collapsed="false">
      <c r="A64" s="118" t="s">
        <v>238</v>
      </c>
      <c r="B64" s="118" t="s">
        <v>225</v>
      </c>
      <c r="C64" s="118" t="s">
        <v>226</v>
      </c>
      <c r="D64" s="118" t="s">
        <v>227</v>
      </c>
      <c r="E64" s="118" t="s">
        <v>240</v>
      </c>
      <c r="F64" s="118" t="s">
        <v>243</v>
      </c>
      <c r="G64" s="118" t="s">
        <v>15</v>
      </c>
      <c r="H64" s="118" t="s">
        <v>20</v>
      </c>
      <c r="I64" s="108" t="s">
        <v>38</v>
      </c>
      <c r="J64" s="108"/>
      <c r="K64" s="108"/>
      <c r="L64" s="118" t="s">
        <v>119</v>
      </c>
      <c r="M64" s="118" t="s">
        <v>244</v>
      </c>
      <c r="N64" s="118" t="s">
        <v>230</v>
      </c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customFormat="false" ht="15.75" hidden="false" customHeight="true" outlineLevel="0" collapsed="false">
      <c r="A65" s="118" t="s">
        <v>245</v>
      </c>
      <c r="B65" s="118" t="s">
        <v>225</v>
      </c>
      <c r="C65" s="118" t="s">
        <v>226</v>
      </c>
      <c r="D65" s="118" t="s">
        <v>227</v>
      </c>
      <c r="E65" s="118" t="s">
        <v>246</v>
      </c>
      <c r="F65" s="118" t="s">
        <v>247</v>
      </c>
      <c r="G65" s="118" t="s">
        <v>15</v>
      </c>
      <c r="H65" s="118" t="s">
        <v>22</v>
      </c>
      <c r="I65" s="108" t="s">
        <v>30</v>
      </c>
      <c r="J65" s="108"/>
      <c r="K65" s="108"/>
      <c r="L65" s="118" t="s">
        <v>248</v>
      </c>
      <c r="M65" s="118" t="s">
        <v>244</v>
      </c>
      <c r="N65" s="118" t="s">
        <v>230</v>
      </c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customFormat="false" ht="15.75" hidden="false" customHeight="true" outlineLevel="0" collapsed="false">
      <c r="A66" s="118" t="s">
        <v>245</v>
      </c>
      <c r="B66" s="118" t="s">
        <v>225</v>
      </c>
      <c r="C66" s="118" t="s">
        <v>226</v>
      </c>
      <c r="D66" s="118" t="s">
        <v>227</v>
      </c>
      <c r="E66" s="118" t="s">
        <v>246</v>
      </c>
      <c r="F66" s="118" t="s">
        <v>249</v>
      </c>
      <c r="G66" s="118" t="s">
        <v>15</v>
      </c>
      <c r="H66" s="118" t="s">
        <v>22</v>
      </c>
      <c r="I66" s="108" t="s">
        <v>30</v>
      </c>
      <c r="J66" s="108"/>
      <c r="K66" s="108"/>
      <c r="L66" s="118" t="s">
        <v>248</v>
      </c>
      <c r="M66" s="118" t="s">
        <v>244</v>
      </c>
      <c r="N66" s="118" t="s">
        <v>230</v>
      </c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customFormat="false" ht="15.75" hidden="false" customHeight="true" outlineLevel="0" collapsed="false">
      <c r="A67" s="108" t="s">
        <v>250</v>
      </c>
      <c r="B67" s="108" t="s">
        <v>251</v>
      </c>
      <c r="C67" s="108" t="s">
        <v>213</v>
      </c>
      <c r="D67" s="121" t="s">
        <v>157</v>
      </c>
      <c r="E67" s="108" t="s">
        <v>210</v>
      </c>
      <c r="F67" s="108" t="s">
        <v>252</v>
      </c>
      <c r="G67" s="108" t="s">
        <v>15</v>
      </c>
      <c r="H67" s="108" t="s">
        <v>22</v>
      </c>
      <c r="I67" s="108" t="s">
        <v>47</v>
      </c>
      <c r="J67" s="108"/>
      <c r="K67" s="108"/>
      <c r="L67" s="108" t="s">
        <v>106</v>
      </c>
      <c r="M67" s="108" t="s">
        <v>111</v>
      </c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customFormat="false" ht="15.75" hidden="false" customHeight="true" outlineLevel="0" collapsed="false">
      <c r="A68" s="108" t="s">
        <v>250</v>
      </c>
      <c r="B68" s="108" t="s">
        <v>251</v>
      </c>
      <c r="C68" s="108" t="s">
        <v>213</v>
      </c>
      <c r="D68" s="108" t="s">
        <v>157</v>
      </c>
      <c r="E68" s="108" t="s">
        <v>109</v>
      </c>
      <c r="F68" s="108" t="s">
        <v>223</v>
      </c>
      <c r="G68" s="108" t="s">
        <v>15</v>
      </c>
      <c r="H68" s="108" t="s">
        <v>22</v>
      </c>
      <c r="I68" s="108" t="s">
        <v>53</v>
      </c>
      <c r="J68" s="108"/>
      <c r="K68" s="108"/>
      <c r="L68" s="108" t="s">
        <v>253</v>
      </c>
      <c r="M68" s="108" t="s">
        <v>254</v>
      </c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customFormat="false" ht="15.75" hidden="false" customHeight="true" outlineLevel="0" collapsed="false">
      <c r="A69" s="120" t="n">
        <v>45514</v>
      </c>
      <c r="B69" s="108" t="s">
        <v>255</v>
      </c>
      <c r="C69" s="108" t="s">
        <v>256</v>
      </c>
      <c r="D69" s="108" t="s">
        <v>152</v>
      </c>
      <c r="E69" s="108" t="s">
        <v>103</v>
      </c>
      <c r="F69" s="108" t="s">
        <v>223</v>
      </c>
      <c r="G69" s="108" t="s">
        <v>15</v>
      </c>
      <c r="H69" s="108" t="s">
        <v>22</v>
      </c>
      <c r="I69" s="108" t="s">
        <v>38</v>
      </c>
      <c r="J69" s="108"/>
      <c r="K69" s="108"/>
      <c r="L69" s="108" t="s">
        <v>106</v>
      </c>
      <c r="M69" s="108" t="s">
        <v>151</v>
      </c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customFormat="false" ht="15.75" hidden="false" customHeight="true" outlineLevel="0" collapsed="false">
      <c r="A70" s="120" t="n">
        <v>45514</v>
      </c>
      <c r="B70" s="108" t="s">
        <v>255</v>
      </c>
      <c r="C70" s="108" t="s">
        <v>256</v>
      </c>
      <c r="D70" s="108" t="s">
        <v>152</v>
      </c>
      <c r="E70" s="108" t="s">
        <v>210</v>
      </c>
      <c r="F70" s="108" t="s">
        <v>218</v>
      </c>
      <c r="G70" s="108" t="s">
        <v>15</v>
      </c>
      <c r="H70" s="108" t="s">
        <v>22</v>
      </c>
      <c r="I70" s="108" t="s">
        <v>47</v>
      </c>
      <c r="J70" s="108"/>
      <c r="K70" s="108"/>
      <c r="L70" s="108" t="s">
        <v>207</v>
      </c>
      <c r="M70" s="108" t="s">
        <v>150</v>
      </c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customFormat="false" ht="15.75" hidden="false" customHeight="true" outlineLevel="0" collapsed="false">
      <c r="A71" s="120" t="n">
        <v>45542</v>
      </c>
      <c r="B71" s="108" t="s">
        <v>257</v>
      </c>
      <c r="C71" s="108" t="s">
        <v>180</v>
      </c>
      <c r="D71" s="108" t="s">
        <v>8</v>
      </c>
      <c r="E71" s="108" t="s">
        <v>258</v>
      </c>
      <c r="F71" s="108" t="s">
        <v>210</v>
      </c>
      <c r="G71" s="108" t="s">
        <v>15</v>
      </c>
      <c r="H71" s="108" t="s">
        <v>22</v>
      </c>
      <c r="I71" s="108" t="s">
        <v>42</v>
      </c>
      <c r="J71" s="108"/>
      <c r="K71" s="108"/>
      <c r="L71" s="108" t="s">
        <v>259</v>
      </c>
      <c r="M71" s="108" t="s">
        <v>150</v>
      </c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customFormat="false" ht="15.75" hidden="false" customHeight="true" outlineLevel="0" collapsed="false">
      <c r="A72" s="120" t="n">
        <v>45542</v>
      </c>
      <c r="B72" s="108" t="s">
        <v>257</v>
      </c>
      <c r="C72" s="108" t="s">
        <v>180</v>
      </c>
      <c r="D72" s="108" t="s">
        <v>8</v>
      </c>
      <c r="E72" s="108" t="s">
        <v>171</v>
      </c>
      <c r="F72" s="108" t="s">
        <v>103</v>
      </c>
      <c r="G72" s="108" t="s">
        <v>15</v>
      </c>
      <c r="H72" s="108" t="s">
        <v>22</v>
      </c>
      <c r="I72" s="108" t="s">
        <v>57</v>
      </c>
      <c r="J72" s="108"/>
      <c r="K72" s="108"/>
      <c r="L72" s="108" t="s">
        <v>260</v>
      </c>
      <c r="M72" s="108" t="s">
        <v>151</v>
      </c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customFormat="false" ht="15.75" hidden="false" customHeight="true" outlineLevel="0" collapsed="false">
      <c r="A73" s="122" t="s">
        <v>261</v>
      </c>
      <c r="B73" s="123" t="s">
        <v>262</v>
      </c>
      <c r="C73" s="123" t="s">
        <v>263</v>
      </c>
      <c r="D73" s="123" t="s">
        <v>264</v>
      </c>
      <c r="E73" s="123" t="s">
        <v>265</v>
      </c>
      <c r="F73" s="123" t="s">
        <v>266</v>
      </c>
      <c r="G73" s="123" t="s">
        <v>15</v>
      </c>
      <c r="H73" s="123" t="s">
        <v>22</v>
      </c>
      <c r="I73" s="124" t="s">
        <v>38</v>
      </c>
      <c r="J73" s="124"/>
      <c r="K73" s="124"/>
      <c r="L73" s="123" t="s">
        <v>267</v>
      </c>
      <c r="M73" s="123" t="s">
        <v>151</v>
      </c>
      <c r="N73" s="123" t="s">
        <v>268</v>
      </c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customFormat="false" ht="15.75" hidden="false" customHeight="true" outlineLevel="0" collapsed="false">
      <c r="A74" s="122" t="s">
        <v>261</v>
      </c>
      <c r="B74" s="123" t="s">
        <v>262</v>
      </c>
      <c r="C74" s="123" t="s">
        <v>263</v>
      </c>
      <c r="D74" s="123" t="s">
        <v>264</v>
      </c>
      <c r="E74" s="123" t="s">
        <v>269</v>
      </c>
      <c r="F74" s="123" t="s">
        <v>200</v>
      </c>
      <c r="G74" s="123" t="s">
        <v>15</v>
      </c>
      <c r="H74" s="123" t="s">
        <v>22</v>
      </c>
      <c r="I74" s="124" t="s">
        <v>38</v>
      </c>
      <c r="J74" s="124"/>
      <c r="K74" s="124"/>
      <c r="L74" s="123" t="s">
        <v>267</v>
      </c>
      <c r="M74" s="123" t="s">
        <v>151</v>
      </c>
      <c r="N74" s="123" t="s">
        <v>268</v>
      </c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customFormat="false" ht="15.75" hidden="false" customHeight="true" outlineLevel="0" collapsed="false">
      <c r="A75" s="122" t="s">
        <v>261</v>
      </c>
      <c r="B75" s="123" t="s">
        <v>262</v>
      </c>
      <c r="C75" s="123" t="s">
        <v>263</v>
      </c>
      <c r="D75" s="123" t="s">
        <v>264</v>
      </c>
      <c r="E75" s="123" t="s">
        <v>270</v>
      </c>
      <c r="F75" s="123" t="s">
        <v>271</v>
      </c>
      <c r="G75" s="123" t="s">
        <v>15</v>
      </c>
      <c r="H75" s="123" t="s">
        <v>22</v>
      </c>
      <c r="I75" s="124" t="s">
        <v>38</v>
      </c>
      <c r="J75" s="124"/>
      <c r="K75" s="124"/>
      <c r="L75" s="123" t="s">
        <v>267</v>
      </c>
      <c r="M75" s="123" t="s">
        <v>151</v>
      </c>
      <c r="N75" s="123" t="s">
        <v>268</v>
      </c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customFormat="false" ht="15.75" hidden="false" customHeight="true" outlineLevel="0" collapsed="false">
      <c r="A76" s="122" t="s">
        <v>272</v>
      </c>
      <c r="B76" s="123" t="s">
        <v>262</v>
      </c>
      <c r="C76" s="123" t="s">
        <v>263</v>
      </c>
      <c r="D76" s="123" t="s">
        <v>264</v>
      </c>
      <c r="E76" s="123" t="s">
        <v>273</v>
      </c>
      <c r="F76" s="123" t="s">
        <v>200</v>
      </c>
      <c r="G76" s="123" t="s">
        <v>15</v>
      </c>
      <c r="H76" s="123" t="s">
        <v>22</v>
      </c>
      <c r="I76" s="124" t="s">
        <v>38</v>
      </c>
      <c r="J76" s="124"/>
      <c r="K76" s="124"/>
      <c r="L76" s="123" t="s">
        <v>267</v>
      </c>
      <c r="M76" s="123" t="s">
        <v>151</v>
      </c>
      <c r="N76" s="123" t="s">
        <v>268</v>
      </c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customFormat="false" ht="15.75" hidden="false" customHeight="true" outlineLevel="0" collapsed="false">
      <c r="A77" s="122" t="s">
        <v>272</v>
      </c>
      <c r="B77" s="123" t="s">
        <v>262</v>
      </c>
      <c r="C77" s="123" t="s">
        <v>263</v>
      </c>
      <c r="D77" s="123" t="s">
        <v>264</v>
      </c>
      <c r="E77" s="123" t="s">
        <v>274</v>
      </c>
      <c r="F77" s="123" t="s">
        <v>269</v>
      </c>
      <c r="G77" s="123" t="s">
        <v>15</v>
      </c>
      <c r="H77" s="123" t="s">
        <v>21</v>
      </c>
      <c r="I77" s="124" t="s">
        <v>38</v>
      </c>
      <c r="J77" s="124"/>
      <c r="K77" s="124"/>
      <c r="L77" s="123" t="s">
        <v>267</v>
      </c>
      <c r="M77" s="123" t="s">
        <v>151</v>
      </c>
      <c r="N77" s="123" t="s">
        <v>268</v>
      </c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customFormat="false" ht="15.75" hidden="false" customHeight="true" outlineLevel="0" collapsed="false">
      <c r="A78" s="122" t="s">
        <v>272</v>
      </c>
      <c r="B78" s="123" t="s">
        <v>262</v>
      </c>
      <c r="C78" s="123" t="s">
        <v>263</v>
      </c>
      <c r="D78" s="123" t="s">
        <v>264</v>
      </c>
      <c r="E78" s="123" t="s">
        <v>270</v>
      </c>
      <c r="F78" s="123" t="s">
        <v>200</v>
      </c>
      <c r="G78" s="123" t="s">
        <v>15</v>
      </c>
      <c r="H78" s="123" t="s">
        <v>22</v>
      </c>
      <c r="I78" s="124" t="s">
        <v>38</v>
      </c>
      <c r="J78" s="124"/>
      <c r="K78" s="124"/>
      <c r="L78" s="123" t="s">
        <v>267</v>
      </c>
      <c r="M78" s="123" t="s">
        <v>151</v>
      </c>
      <c r="N78" s="123" t="s">
        <v>268</v>
      </c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customFormat="false" ht="15.75" hidden="false" customHeight="true" outlineLevel="0" collapsed="false">
      <c r="A79" s="122" t="s">
        <v>275</v>
      </c>
      <c r="B79" s="123" t="s">
        <v>262</v>
      </c>
      <c r="C79" s="123" t="s">
        <v>263</v>
      </c>
      <c r="D79" s="123" t="s">
        <v>264</v>
      </c>
      <c r="E79" s="123" t="s">
        <v>265</v>
      </c>
      <c r="F79" s="123" t="s">
        <v>276</v>
      </c>
      <c r="G79" s="123" t="s">
        <v>15</v>
      </c>
      <c r="H79" s="123" t="s">
        <v>22</v>
      </c>
      <c r="I79" s="124" t="s">
        <v>38</v>
      </c>
      <c r="J79" s="124"/>
      <c r="K79" s="124"/>
      <c r="L79" s="123" t="s">
        <v>267</v>
      </c>
      <c r="M79" s="123" t="s">
        <v>151</v>
      </c>
      <c r="N79" s="123" t="s">
        <v>268</v>
      </c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customFormat="false" ht="15.75" hidden="false" customHeight="true" outlineLevel="0" collapsed="false">
      <c r="A80" s="122" t="s">
        <v>275</v>
      </c>
      <c r="B80" s="123" t="s">
        <v>262</v>
      </c>
      <c r="C80" s="123" t="s">
        <v>263</v>
      </c>
      <c r="D80" s="123" t="s">
        <v>264</v>
      </c>
      <c r="E80" s="123" t="s">
        <v>277</v>
      </c>
      <c r="F80" s="123" t="s">
        <v>278</v>
      </c>
      <c r="G80" s="123" t="s">
        <v>15</v>
      </c>
      <c r="H80" s="123" t="s">
        <v>22</v>
      </c>
      <c r="I80" s="124" t="s">
        <v>38</v>
      </c>
      <c r="J80" s="124"/>
      <c r="K80" s="124"/>
      <c r="L80" s="123" t="s">
        <v>267</v>
      </c>
      <c r="M80" s="123" t="s">
        <v>279</v>
      </c>
      <c r="N80" s="123" t="s">
        <v>268</v>
      </c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customFormat="false" ht="15.75" hidden="false" customHeight="true" outlineLevel="0" collapsed="false">
      <c r="A81" s="120" t="n">
        <v>45577</v>
      </c>
      <c r="B81" s="108" t="s">
        <v>280</v>
      </c>
      <c r="C81" s="108" t="s">
        <v>256</v>
      </c>
      <c r="D81" s="108" t="s">
        <v>281</v>
      </c>
      <c r="E81" s="108" t="s">
        <v>103</v>
      </c>
      <c r="F81" s="108" t="s">
        <v>282</v>
      </c>
      <c r="G81" s="108" t="s">
        <v>15</v>
      </c>
      <c r="H81" s="108" t="s">
        <v>22</v>
      </c>
      <c r="I81" s="108" t="s">
        <v>38</v>
      </c>
      <c r="J81" s="108"/>
      <c r="K81" s="108"/>
      <c r="L81" s="108" t="s">
        <v>106</v>
      </c>
      <c r="M81" s="108" t="s">
        <v>111</v>
      </c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customFormat="false" ht="15.75" hidden="false" customHeight="true" outlineLevel="0" collapsed="false">
      <c r="A82" s="120" t="n">
        <v>45577</v>
      </c>
      <c r="B82" s="108" t="s">
        <v>280</v>
      </c>
      <c r="C82" s="108" t="s">
        <v>256</v>
      </c>
      <c r="D82" s="108" t="s">
        <v>281</v>
      </c>
      <c r="E82" s="108" t="s">
        <v>109</v>
      </c>
      <c r="F82" s="108" t="s">
        <v>252</v>
      </c>
      <c r="G82" s="108" t="s">
        <v>15</v>
      </c>
      <c r="H82" s="108" t="s">
        <v>22</v>
      </c>
      <c r="I82" s="108" t="s">
        <v>53</v>
      </c>
      <c r="J82" s="108"/>
      <c r="K82" s="108"/>
      <c r="L82" s="108" t="s">
        <v>207</v>
      </c>
      <c r="M82" s="108" t="s">
        <v>150</v>
      </c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customFormat="false" ht="15.75" hidden="false" customHeight="true" outlineLevel="0" collapsed="false">
      <c r="A83" s="120" t="n">
        <v>45599</v>
      </c>
      <c r="B83" s="108" t="s">
        <v>283</v>
      </c>
      <c r="C83" s="108" t="s">
        <v>213</v>
      </c>
      <c r="D83" s="108" t="s">
        <v>157</v>
      </c>
      <c r="E83" s="108" t="s">
        <v>284</v>
      </c>
      <c r="F83" s="108" t="s">
        <v>285</v>
      </c>
      <c r="G83" s="108" t="s">
        <v>15</v>
      </c>
      <c r="H83" s="108" t="s">
        <v>23</v>
      </c>
      <c r="I83" s="108" t="s">
        <v>53</v>
      </c>
      <c r="J83" s="108"/>
      <c r="K83" s="108"/>
      <c r="L83" s="108" t="s">
        <v>119</v>
      </c>
      <c r="M83" s="108" t="s">
        <v>150</v>
      </c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customFormat="false" ht="15.75" hidden="false" customHeight="true" outlineLevel="0" collapsed="false">
      <c r="A84" s="120" t="n">
        <v>45605</v>
      </c>
      <c r="B84" s="108" t="s">
        <v>286</v>
      </c>
      <c r="C84" s="108" t="s">
        <v>108</v>
      </c>
      <c r="D84" s="108" t="s">
        <v>109</v>
      </c>
      <c r="E84" s="108" t="s">
        <v>287</v>
      </c>
      <c r="F84" s="108" t="s">
        <v>288</v>
      </c>
      <c r="G84" s="108" t="s">
        <v>15</v>
      </c>
      <c r="H84" s="108" t="s">
        <v>22</v>
      </c>
      <c r="I84" s="108" t="s">
        <v>30</v>
      </c>
      <c r="J84" s="108"/>
      <c r="K84" s="108"/>
      <c r="L84" s="108" t="s">
        <v>106</v>
      </c>
      <c r="M84" s="108" t="s">
        <v>111</v>
      </c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customFormat="false" ht="15.75" hidden="false" customHeight="true" outlineLevel="0" collapsed="false">
      <c r="A85" s="120" t="n">
        <v>45605</v>
      </c>
      <c r="B85" s="108" t="s">
        <v>286</v>
      </c>
      <c r="C85" s="108" t="s">
        <v>108</v>
      </c>
      <c r="D85" s="108" t="s">
        <v>109</v>
      </c>
      <c r="E85" s="108" t="s">
        <v>109</v>
      </c>
      <c r="F85" s="120" t="s">
        <v>189</v>
      </c>
      <c r="G85" s="108" t="s">
        <v>15</v>
      </c>
      <c r="H85" s="108" t="s">
        <v>22</v>
      </c>
      <c r="I85" s="108" t="s">
        <v>38</v>
      </c>
      <c r="J85" s="108"/>
      <c r="K85" s="108"/>
      <c r="L85" s="108" t="s">
        <v>124</v>
      </c>
      <c r="M85" s="108" t="s">
        <v>111</v>
      </c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customFormat="false" ht="15.75" hidden="false" customHeight="true" outlineLevel="0" collapsed="false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customFormat="false" ht="15.75" hidden="false" customHeight="true" outlineLevel="0" collapsed="false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customFormat="false" ht="15.75" hidden="false" customHeight="true" outlineLevel="0" collapsed="false">
      <c r="A88" s="120" t="n">
        <v>45501</v>
      </c>
      <c r="B88" s="108" t="s">
        <v>289</v>
      </c>
      <c r="C88" s="108" t="s">
        <v>180</v>
      </c>
      <c r="D88" s="0" t="s">
        <v>8</v>
      </c>
      <c r="E88" s="108" t="s">
        <v>290</v>
      </c>
      <c r="F88" s="108" t="s">
        <v>291</v>
      </c>
      <c r="G88" s="108" t="s">
        <v>15</v>
      </c>
      <c r="H88" s="108" t="s">
        <v>23</v>
      </c>
      <c r="I88" s="108" t="s">
        <v>30</v>
      </c>
      <c r="J88" s="108"/>
      <c r="K88" s="108"/>
      <c r="L88" s="108" t="s">
        <v>113</v>
      </c>
      <c r="M88" s="108" t="s">
        <v>111</v>
      </c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customFormat="false" ht="15.75" hidden="false" customHeight="true" outlineLevel="0" collapsed="false">
      <c r="A89" s="108" t="s">
        <v>292</v>
      </c>
      <c r="B89" s="108" t="s">
        <v>293</v>
      </c>
      <c r="C89" s="108" t="s">
        <v>180</v>
      </c>
      <c r="D89" s="0" t="s">
        <v>8</v>
      </c>
      <c r="E89" s="108" t="s">
        <v>290</v>
      </c>
      <c r="F89" s="108" t="s">
        <v>294</v>
      </c>
      <c r="G89" s="108" t="s">
        <v>15</v>
      </c>
      <c r="H89" s="108" t="s">
        <v>23</v>
      </c>
      <c r="I89" s="108" t="s">
        <v>34</v>
      </c>
      <c r="J89" s="108"/>
      <c r="K89" s="108"/>
      <c r="L89" s="108" t="s">
        <v>295</v>
      </c>
      <c r="M89" s="108" t="s">
        <v>296</v>
      </c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customFormat="false" ht="15.75" hidden="false" customHeight="true" outlineLevel="0" collapsed="false">
      <c r="A90" s="120" t="n">
        <v>45592</v>
      </c>
      <c r="B90" s="108" t="s">
        <v>297</v>
      </c>
      <c r="C90" s="108" t="s">
        <v>180</v>
      </c>
      <c r="D90" s="0" t="s">
        <v>8</v>
      </c>
      <c r="E90" s="108" t="s">
        <v>290</v>
      </c>
      <c r="F90" s="108" t="s">
        <v>298</v>
      </c>
      <c r="G90" s="108" t="s">
        <v>15</v>
      </c>
      <c r="H90" s="108" t="s">
        <v>23</v>
      </c>
      <c r="I90" s="108" t="s">
        <v>49</v>
      </c>
      <c r="J90" s="108"/>
      <c r="K90" s="108"/>
      <c r="L90" s="108" t="s">
        <v>106</v>
      </c>
      <c r="M90" s="108" t="s">
        <v>183</v>
      </c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customFormat="false" ht="15.75" hidden="false" customHeight="true" outlineLevel="0" collapsed="false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customFormat="false" ht="15.75" hidden="false" customHeight="true" outlineLevel="0" collapsed="false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customFormat="false" ht="15.75" hidden="false" customHeight="true" outlineLevel="0" collapsed="false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customFormat="false" ht="15.75" hidden="false" customHeight="true" outlineLevel="0" collapsed="false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customFormat="false" ht="15.75" hidden="false" customHeight="true" outlineLevel="0" collapsed="false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customFormat="false" ht="15.75" hidden="false" customHeight="true" outlineLevel="0" collapsed="false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customFormat="false" ht="15.75" hidden="false" customHeight="true" outlineLevel="0" collapsed="false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customFormat="false" ht="15.75" hidden="false" customHeight="true" outlineLevel="0" collapsed="false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customFormat="false" ht="15.75" hidden="false" customHeight="true" outlineLevel="0" collapsed="false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customFormat="false" ht="15.75" hidden="false" customHeight="true" outlineLevel="0" collapsed="false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customFormat="false" ht="15.75" hidden="false" customHeight="true" outlineLevel="0" collapsed="false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customFormat="false" ht="15.75" hidden="false" customHeight="true" outlineLevel="0" collapsed="false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customFormat="false" ht="15.75" hidden="false" customHeight="true" outlineLevel="0" collapsed="false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customFormat="false" ht="15.75" hidden="false" customHeight="true" outlineLevel="0" collapsed="false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customFormat="false" ht="15.75" hidden="false" customHeight="true" outlineLevel="0" collapsed="false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customFormat="false" ht="15.75" hidden="false" customHeight="true" outlineLevel="0" collapsed="false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customFormat="false" ht="15.75" hidden="false" customHeight="true" outlineLevel="0" collapsed="false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customFormat="false" ht="15.75" hidden="false" customHeight="true" outlineLevel="0" collapsed="false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customFormat="false" ht="15.75" hidden="false" customHeight="true" outlineLevel="0" collapsed="false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customFormat="false" ht="15.75" hidden="false" customHeight="true" outlineLevel="0" collapsed="false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customFormat="false" ht="15.75" hidden="false" customHeight="true" outlineLevel="0" collapsed="false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customFormat="false" ht="15.75" hidden="false" customHeight="true" outlineLevel="0" collapsed="false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customFormat="false" ht="15.75" hidden="false" customHeight="true" outlineLevel="0" collapsed="false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customFormat="false" ht="15.75" hidden="false" customHeight="true" outlineLevel="0" collapsed="false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customFormat="false" ht="15.75" hidden="false" customHeight="true" outlineLevel="0" collapsed="false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customFormat="false" ht="15.75" hidden="false" customHeight="true" outlineLevel="0" collapsed="false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customFormat="false" ht="15.75" hidden="false" customHeight="true" outlineLevel="0" collapsed="false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customFormat="false" ht="15.75" hidden="false" customHeight="true" outlineLevel="0" collapsed="false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customFormat="false" ht="15.75" hidden="false" customHeight="true" outlineLevel="0" collapsed="false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customFormat="false" ht="15.75" hidden="false" customHeight="true" outlineLevel="0" collapsed="false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customFormat="false" ht="15.75" hidden="false" customHeight="true" outlineLevel="0" collapsed="false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customFormat="false" ht="15.75" hidden="false" customHeight="true" outlineLevel="0" collapsed="false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customFormat="false" ht="15.75" hidden="false" customHeight="true" outlineLevel="0" collapsed="false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customFormat="false" ht="15.75" hidden="false" customHeight="true" outlineLevel="0" collapsed="false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customFormat="false" ht="15.75" hidden="false" customHeight="true" outlineLevel="0" collapsed="false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customFormat="false" ht="15.75" hidden="false" customHeight="true" outlineLevel="0" collapsed="false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customFormat="false" ht="15.75" hidden="false" customHeight="true" outlineLevel="0" collapsed="false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customFormat="false" ht="15.75" hidden="false" customHeight="true" outlineLevel="0" collapsed="false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customFormat="false" ht="15.75" hidden="false" customHeight="true" outlineLevel="0" collapsed="false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customFormat="false" ht="15.75" hidden="false" customHeight="true" outlineLevel="0" collapsed="false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customFormat="false" ht="15.75" hidden="false" customHeight="true" outlineLevel="0" collapsed="false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customFormat="false" ht="15.75" hidden="false" customHeight="true" outlineLevel="0" collapsed="false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customFormat="false" ht="15.75" hidden="false" customHeight="true" outlineLevel="0" collapsed="false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customFormat="false" ht="15.75" hidden="false" customHeight="true" outlineLevel="0" collapsed="false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customFormat="false" ht="15.75" hidden="false" customHeight="true" outlineLevel="0" collapsed="false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customFormat="false" ht="15.75" hidden="false" customHeight="true" outlineLevel="0" collapsed="false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customFormat="false" ht="15.75" hidden="false" customHeight="true" outlineLevel="0" collapsed="false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customFormat="false" ht="15.75" hidden="false" customHeight="true" outlineLevel="0" collapsed="false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customFormat="false" ht="15.75" hidden="false" customHeight="true" outlineLevel="0" collapsed="false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customFormat="false" ht="15.75" hidden="false" customHeight="true" outlineLevel="0" collapsed="false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customFormat="false" ht="15.75" hidden="false" customHeight="true" outlineLevel="0" collapsed="false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customFormat="false" ht="15.75" hidden="false" customHeight="true" outlineLevel="0" collapsed="false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customFormat="false" ht="15.75" hidden="false" customHeight="true" outlineLevel="0" collapsed="false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customFormat="false" ht="15.75" hidden="false" customHeight="true" outlineLevel="0" collapsed="false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customFormat="false" ht="15.75" hidden="false" customHeight="true" outlineLevel="0" collapsed="false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customFormat="false" ht="15.75" hidden="false" customHeight="true" outlineLevel="0" collapsed="false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customFormat="false" ht="15.75" hidden="false" customHeight="true" outlineLevel="0" collapsed="false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customFormat="false" ht="15.75" hidden="false" customHeight="true" outlineLevel="0" collapsed="false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customFormat="false" ht="15.75" hidden="false" customHeight="true" outlineLevel="0" collapsed="false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customFormat="false" ht="15.75" hidden="false" customHeight="true" outlineLevel="0" collapsed="false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customFormat="false" ht="15.75" hidden="false" customHeight="true" outlineLevel="0" collapsed="false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customFormat="false" ht="15.75" hidden="false" customHeight="true" outlineLevel="0" collapsed="false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customFormat="false" ht="15.75" hidden="false" customHeight="true" outlineLevel="0" collapsed="false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customFormat="false" ht="15.75" hidden="false" customHeight="true" outlineLevel="0" collapsed="false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customFormat="false" ht="15.75" hidden="false" customHeight="true" outlineLevel="0" collapsed="false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customFormat="false" ht="15.75" hidden="false" customHeight="true" outlineLevel="0" collapsed="false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customFormat="false" ht="15.75" hidden="false" customHeight="true" outlineLevel="0" collapsed="false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customFormat="false" ht="15.75" hidden="false" customHeight="true" outlineLevel="0" collapsed="false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customFormat="false" ht="15.75" hidden="false" customHeight="true" outlineLevel="0" collapsed="false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customFormat="false" ht="15.75" hidden="false" customHeight="true" outlineLevel="0" collapsed="false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customFormat="false" ht="15.75" hidden="false" customHeight="true" outlineLevel="0" collapsed="false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customFormat="false" ht="15.75" hidden="false" customHeight="true" outlineLevel="0" collapsed="false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customFormat="false" ht="15.75" hidden="false" customHeight="true" outlineLevel="0" collapsed="false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customFormat="false" ht="15.75" hidden="false" customHeight="true" outlineLevel="0" collapsed="false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customFormat="false" ht="15.75" hidden="false" customHeight="true" outlineLevel="0" collapsed="false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customFormat="false" ht="15.75" hidden="false" customHeight="true" outlineLevel="0" collapsed="false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customFormat="false" ht="15.75" hidden="false" customHeight="true" outlineLevel="0" collapsed="false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customFormat="false" ht="15.75" hidden="false" customHeight="true" outlineLevel="0" collapsed="false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customFormat="false" ht="15.75" hidden="false" customHeight="true" outlineLevel="0" collapsed="false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customFormat="false" ht="15.75" hidden="false" customHeight="true" outlineLevel="0" collapsed="false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customFormat="false" ht="15.75" hidden="false" customHeight="true" outlineLevel="0" collapsed="false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customFormat="false" ht="15.75" hidden="false" customHeight="true" outlineLevel="0" collapsed="false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customFormat="false" ht="15.75" hidden="false" customHeight="true" outlineLevel="0" collapsed="false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customFormat="false" ht="15.75" hidden="false" customHeight="true" outlineLevel="0" collapsed="false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customFormat="false" ht="15.75" hidden="false" customHeight="true" outlineLevel="0" collapsed="false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customFormat="false" ht="15.75" hidden="false" customHeight="true" outlineLevel="0" collapsed="false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customFormat="false" ht="15.75" hidden="false" customHeight="true" outlineLevel="0" collapsed="false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customFormat="false" ht="15.75" hidden="false" customHeight="true" outlineLevel="0" collapsed="false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customFormat="false" ht="15.75" hidden="false" customHeight="true" outlineLevel="0" collapsed="false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customFormat="false" ht="15.75" hidden="false" customHeight="true" outlineLevel="0" collapsed="false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customFormat="false" ht="15.75" hidden="false" customHeight="true" outlineLevel="0" collapsed="false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customFormat="false" ht="15.75" hidden="false" customHeight="true" outlineLevel="0" collapsed="false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customFormat="false" ht="15.75" hidden="false" customHeight="true" outlineLevel="0" collapsed="false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customFormat="false" ht="15.75" hidden="false" customHeight="true" outlineLevel="0" collapsed="false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customFormat="false" ht="15.75" hidden="false" customHeight="true" outlineLevel="0" collapsed="false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customFormat="false" ht="15.75" hidden="false" customHeight="true" outlineLevel="0" collapsed="false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customFormat="false" ht="15.75" hidden="false" customHeight="true" outlineLevel="0" collapsed="false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customFormat="false" ht="15.75" hidden="false" customHeight="true" outlineLevel="0" collapsed="false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customFormat="false" ht="15.75" hidden="false" customHeight="true" outlineLevel="0" collapsed="false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customFormat="false" ht="15.75" hidden="false" customHeight="true" outlineLevel="0" collapsed="false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customFormat="false" ht="15.75" hidden="false" customHeight="true" outlineLevel="0" collapsed="false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customFormat="false" ht="15.75" hidden="false" customHeight="true" outlineLevel="0" collapsed="false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customFormat="false" ht="15.75" hidden="false" customHeight="true" outlineLevel="0" collapsed="false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customFormat="false" ht="15.75" hidden="false" customHeight="true" outlineLevel="0" collapsed="false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customFormat="false" ht="15.75" hidden="false" customHeight="true" outlineLevel="0" collapsed="false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customFormat="false" ht="15.75" hidden="false" customHeight="true" outlineLevel="0" collapsed="false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customFormat="false" ht="15.75" hidden="false" customHeight="true" outlineLevel="0" collapsed="false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customFormat="false" ht="15.75" hidden="false" customHeight="true" outlineLevel="0" collapsed="false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customFormat="false" ht="15.75" hidden="false" customHeight="true" outlineLevel="0" collapsed="false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customFormat="false" ht="15.75" hidden="false" customHeight="true" outlineLevel="0" collapsed="false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customFormat="false" ht="15.75" hidden="false" customHeight="true" outlineLevel="0" collapsed="false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customFormat="false" ht="15.75" hidden="false" customHeight="true" outlineLevel="0" collapsed="false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customFormat="false" ht="15.75" hidden="false" customHeight="true" outlineLevel="0" collapsed="false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customFormat="false" ht="15.75" hidden="false" customHeight="true" outlineLevel="0" collapsed="false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customFormat="false" ht="15.75" hidden="false" customHeight="true" outlineLevel="0" collapsed="false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customFormat="false" ht="15.75" hidden="false" customHeight="true" outlineLevel="0" collapsed="false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customFormat="false" ht="15.75" hidden="false" customHeight="true" outlineLevel="0" collapsed="false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customFormat="false" ht="15.75" hidden="false" customHeight="true" outlineLevel="0" collapsed="false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customFormat="false" ht="15.75" hidden="false" customHeight="true" outlineLevel="0" collapsed="false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customFormat="false" ht="15.75" hidden="false" customHeight="true" outlineLevel="0" collapsed="false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customFormat="false" ht="15.75" hidden="false" customHeight="true" outlineLevel="0" collapsed="false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customFormat="false" ht="15.75" hidden="false" customHeight="true" outlineLevel="0" collapsed="false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customFormat="false" ht="15.75" hidden="false" customHeight="true" outlineLevel="0" collapsed="false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customFormat="false" ht="15.75" hidden="false" customHeight="true" outlineLevel="0" collapsed="false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customFormat="false" ht="15.75" hidden="false" customHeight="true" outlineLevel="0" collapsed="false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customFormat="false" ht="15.75" hidden="false" customHeight="true" outlineLevel="0" collapsed="false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customFormat="false" ht="15.75" hidden="false" customHeight="true" outlineLevel="0" collapsed="false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customFormat="false" ht="15.75" hidden="false" customHeight="true" outlineLevel="0" collapsed="false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customFormat="false" ht="15.75" hidden="false" customHeight="true" outlineLevel="0" collapsed="false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customFormat="false" ht="15.75" hidden="false" customHeight="true" outlineLevel="0" collapsed="false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customFormat="false" ht="15.75" hidden="false" customHeight="true" outlineLevel="0" collapsed="false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customFormat="false" ht="15.75" hidden="false" customHeight="true" outlineLevel="0" collapsed="false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customFormat="false" ht="15.75" hidden="false" customHeight="true" outlineLevel="0" collapsed="false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customFormat="false" ht="15.75" hidden="false" customHeight="true" outlineLevel="0" collapsed="false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customFormat="false" ht="15.75" hidden="false" customHeight="true" outlineLevel="0" collapsed="false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customFormat="false" ht="15.75" hidden="false" customHeight="true" outlineLevel="0" collapsed="false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customFormat="false" ht="15.75" hidden="false" customHeight="true" outlineLevel="0" collapsed="false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customFormat="false" ht="15.75" hidden="false" customHeight="true" outlineLevel="0" collapsed="false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customFormat="false" ht="15.75" hidden="false" customHeight="true" outlineLevel="0" collapsed="false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customFormat="false" ht="15.75" hidden="false" customHeight="true" outlineLevel="0" collapsed="false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customFormat="false" ht="15.75" hidden="false" customHeight="true" outlineLevel="0" collapsed="false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customFormat="false" ht="15.75" hidden="false" customHeight="true" outlineLevel="0" collapsed="false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customFormat="false" ht="15.75" hidden="false" customHeight="true" outlineLevel="0" collapsed="false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customFormat="false" ht="15.75" hidden="false" customHeight="true" outlineLevel="0" collapsed="false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customFormat="false" ht="15.75" hidden="false" customHeight="true" outlineLevel="0" collapsed="false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customFormat="false" ht="15.75" hidden="false" customHeight="true" outlineLevel="0" collapsed="false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customFormat="false" ht="15.75" hidden="false" customHeight="true" outlineLevel="0" collapsed="false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customFormat="false" ht="15.75" hidden="false" customHeight="true" outlineLevel="0" collapsed="false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customFormat="false" ht="15.75" hidden="false" customHeight="true" outlineLevel="0" collapsed="false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customFormat="false" ht="15.75" hidden="false" customHeight="true" outlineLevel="0" collapsed="false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customFormat="false" ht="15.75" hidden="false" customHeight="true" outlineLevel="0" collapsed="false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customFormat="false" ht="15.75" hidden="false" customHeight="true" outlineLevel="0" collapsed="false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customFormat="false" ht="15.75" hidden="false" customHeight="true" outlineLevel="0" collapsed="false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customFormat="false" ht="15.75" hidden="false" customHeight="true" outlineLevel="0" collapsed="false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customFormat="false" ht="15.75" hidden="false" customHeight="true" outlineLevel="0" collapsed="false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customFormat="false" ht="15.75" hidden="false" customHeight="true" outlineLevel="0" collapsed="false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customFormat="false" ht="15.75" hidden="false" customHeight="true" outlineLevel="0" collapsed="false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customFormat="false" ht="15.75" hidden="false" customHeight="true" outlineLevel="0" collapsed="false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customFormat="false" ht="15.75" hidden="false" customHeight="true" outlineLevel="0" collapsed="false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customFormat="false" ht="15.75" hidden="false" customHeight="true" outlineLevel="0" collapsed="false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customFormat="false" ht="15.75" hidden="false" customHeight="true" outlineLevel="0" collapsed="false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customFormat="false" ht="15.75" hidden="false" customHeight="true" outlineLevel="0" collapsed="false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customFormat="false" ht="15.75" hidden="false" customHeight="true" outlineLevel="0" collapsed="false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customFormat="false" ht="15.75" hidden="false" customHeight="true" outlineLevel="0" collapsed="false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customFormat="false" ht="15.75" hidden="false" customHeight="true" outlineLevel="0" collapsed="false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customFormat="false" ht="15.75" hidden="false" customHeight="true" outlineLevel="0" collapsed="false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customFormat="false" ht="15.75" hidden="false" customHeight="true" outlineLevel="0" collapsed="false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customFormat="false" ht="15.75" hidden="false" customHeight="true" outlineLevel="0" collapsed="false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customFormat="false" ht="15.75" hidden="false" customHeight="true" outlineLevel="0" collapsed="false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customFormat="false" ht="15.75" hidden="false" customHeight="true" outlineLevel="0" collapsed="false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customFormat="false" ht="15.75" hidden="false" customHeight="true" outlineLevel="0" collapsed="false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customFormat="false" ht="15.75" hidden="false" customHeight="true" outlineLevel="0" collapsed="false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customFormat="false" ht="15.75" hidden="false" customHeight="true" outlineLevel="0" collapsed="false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customFormat="false" ht="15.75" hidden="false" customHeight="true" outlineLevel="0" collapsed="false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customFormat="false" ht="15.75" hidden="false" customHeight="true" outlineLevel="0" collapsed="false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customFormat="false" ht="15.75" hidden="false" customHeight="true" outlineLevel="0" collapsed="false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customFormat="false" ht="15.75" hidden="false" customHeight="true" outlineLevel="0" collapsed="false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customFormat="false" ht="15.75" hidden="false" customHeight="true" outlineLevel="0" collapsed="false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customFormat="false" ht="15.75" hidden="false" customHeight="true" outlineLevel="0" collapsed="false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customFormat="false" ht="15.75" hidden="false" customHeight="true" outlineLevel="0" collapsed="false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customFormat="false" ht="15.75" hidden="false" customHeight="true" outlineLevel="0" collapsed="false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customFormat="false" ht="15.75" hidden="false" customHeight="true" outlineLevel="0" collapsed="false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customFormat="false" ht="15.75" hidden="false" customHeight="true" outlineLevel="0" collapsed="false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customFormat="false" ht="15.75" hidden="false" customHeight="true" outlineLevel="0" collapsed="false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customFormat="false" ht="15.75" hidden="false" customHeight="true" outlineLevel="0" collapsed="false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customFormat="false" ht="15.75" hidden="false" customHeight="true" outlineLevel="0" collapsed="false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customFormat="false" ht="15.75" hidden="false" customHeight="true" outlineLevel="0" collapsed="false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customFormat="false" ht="15.75" hidden="false" customHeight="true" outlineLevel="0" collapsed="false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customFormat="false" ht="15.75" hidden="false" customHeight="true" outlineLevel="0" collapsed="false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customFormat="false" ht="15.75" hidden="false" customHeight="true" outlineLevel="0" collapsed="false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customFormat="false" ht="15.75" hidden="false" customHeight="true" outlineLevel="0" collapsed="false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customFormat="false" ht="15.75" hidden="false" customHeight="true" outlineLevel="0" collapsed="false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customFormat="false" ht="15.75" hidden="false" customHeight="true" outlineLevel="0" collapsed="false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customFormat="false" ht="15.75" hidden="false" customHeight="true" outlineLevel="0" collapsed="false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customFormat="false" ht="15.75" hidden="false" customHeight="true" outlineLevel="0" collapsed="false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customFormat="false" ht="15.75" hidden="false" customHeight="true" outlineLevel="0" collapsed="false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customFormat="false" ht="15.75" hidden="false" customHeight="true" outlineLevel="0" collapsed="false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customFormat="false" ht="15.75" hidden="false" customHeight="true" outlineLevel="0" collapsed="false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customFormat="false" ht="15.75" hidden="false" customHeight="true" outlineLevel="0" collapsed="false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customFormat="false" ht="15.75" hidden="false" customHeight="true" outlineLevel="0" collapsed="false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customFormat="false" ht="15.75" hidden="false" customHeight="true" outlineLevel="0" collapsed="false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customFormat="false" ht="15.75" hidden="false" customHeight="true" outlineLevel="0" collapsed="false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customFormat="false" ht="15.75" hidden="false" customHeight="true" outlineLevel="0" collapsed="false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customFormat="false" ht="15.75" hidden="false" customHeight="true" outlineLevel="0" collapsed="false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customFormat="false" ht="15.75" hidden="false" customHeight="true" outlineLevel="0" collapsed="false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customFormat="false" ht="15.75" hidden="false" customHeight="true" outlineLevel="0" collapsed="false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customFormat="false" ht="15.75" hidden="false" customHeight="true" outlineLevel="0" collapsed="false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customFormat="false" ht="15.75" hidden="false" customHeight="true" outlineLevel="0" collapsed="false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customFormat="false" ht="15.75" hidden="false" customHeight="true" outlineLevel="0" collapsed="false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customFormat="false" ht="15.75" hidden="false" customHeight="true" outlineLevel="0" collapsed="false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customFormat="false" ht="15.75" hidden="false" customHeight="true" outlineLevel="0" collapsed="false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customFormat="false" ht="15.75" hidden="false" customHeight="true" outlineLevel="0" collapsed="false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customFormat="false" ht="15.75" hidden="false" customHeight="true" outlineLevel="0" collapsed="false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customFormat="false" ht="15.75" hidden="false" customHeight="true" outlineLevel="0" collapsed="false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customFormat="false" ht="15.75" hidden="false" customHeight="true" outlineLevel="0" collapsed="false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customFormat="false" ht="15.75" hidden="false" customHeight="true" outlineLevel="0" collapsed="false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customFormat="false" ht="15.75" hidden="false" customHeight="true" outlineLevel="0" collapsed="false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customFormat="false" ht="15.75" hidden="false" customHeight="true" outlineLevel="0" collapsed="false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customFormat="false" ht="15.75" hidden="false" customHeight="true" outlineLevel="0" collapsed="false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customFormat="false" ht="15.75" hidden="false" customHeight="true" outlineLevel="0" collapsed="false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customFormat="false" ht="15.75" hidden="false" customHeight="true" outlineLevel="0" collapsed="false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customFormat="false" ht="15.75" hidden="false" customHeight="true" outlineLevel="0" collapsed="false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customFormat="false" ht="15.75" hidden="false" customHeight="true" outlineLevel="0" collapsed="false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customFormat="false" ht="15.75" hidden="false" customHeight="true" outlineLevel="0" collapsed="false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customFormat="false" ht="15.75" hidden="false" customHeight="true" outlineLevel="0" collapsed="false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customFormat="false" ht="15.75" hidden="false" customHeight="true" outlineLevel="0" collapsed="false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customFormat="false" ht="15.75" hidden="false" customHeight="true" outlineLevel="0" collapsed="false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customFormat="false" ht="15.75" hidden="false" customHeight="true" outlineLevel="0" collapsed="false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customFormat="false" ht="15.75" hidden="false" customHeight="true" outlineLevel="0" collapsed="false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customFormat="false" ht="15.75" hidden="false" customHeight="true" outlineLevel="0" collapsed="false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customFormat="false" ht="15.75" hidden="false" customHeight="true" outlineLevel="0" collapsed="false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customFormat="false" ht="15.75" hidden="false" customHeight="true" outlineLevel="0" collapsed="false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customFormat="false" ht="15.75" hidden="false" customHeight="true" outlineLevel="0" collapsed="false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customFormat="false" ht="15.75" hidden="false" customHeight="true" outlineLevel="0" collapsed="false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customFormat="false" ht="15.75" hidden="false" customHeight="true" outlineLevel="0" collapsed="false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customFormat="false" ht="15.75" hidden="false" customHeight="true" outlineLevel="0" collapsed="false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customFormat="false" ht="15.75" hidden="false" customHeight="true" outlineLevel="0" collapsed="false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customFormat="false" ht="15.75" hidden="false" customHeight="true" outlineLevel="0" collapsed="false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customFormat="false" ht="15.75" hidden="false" customHeight="true" outlineLevel="0" collapsed="false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customFormat="false" ht="15.75" hidden="false" customHeight="true" outlineLevel="0" collapsed="false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customFormat="false" ht="15.75" hidden="false" customHeight="true" outlineLevel="0" collapsed="false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customFormat="false" ht="15.75" hidden="false" customHeight="true" outlineLevel="0" collapsed="false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customFormat="false" ht="15.75" hidden="false" customHeight="true" outlineLevel="0" collapsed="false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customFormat="false" ht="15.75" hidden="false" customHeight="true" outlineLevel="0" collapsed="false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customFormat="false" ht="15.75" hidden="false" customHeight="true" outlineLevel="0" collapsed="false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customFormat="false" ht="15.75" hidden="false" customHeight="true" outlineLevel="0" collapsed="false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customFormat="false" ht="15.75" hidden="false" customHeight="true" outlineLevel="0" collapsed="false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customFormat="false" ht="15.75" hidden="false" customHeight="true" outlineLevel="0" collapsed="false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customFormat="false" ht="15.75" hidden="false" customHeight="true" outlineLevel="0" collapsed="false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customFormat="false" ht="15.75" hidden="false" customHeight="true" outlineLevel="0" collapsed="false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customFormat="false" ht="15.75" hidden="false" customHeight="true" outlineLevel="0" collapsed="false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customFormat="false" ht="15.75" hidden="false" customHeight="true" outlineLevel="0" collapsed="false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customFormat="false" ht="15.75" hidden="false" customHeight="true" outlineLevel="0" collapsed="false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customFormat="false" ht="15.75" hidden="false" customHeight="true" outlineLevel="0" collapsed="false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customFormat="false" ht="15.75" hidden="false" customHeight="true" outlineLevel="0" collapsed="false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customFormat="false" ht="15.75" hidden="false" customHeight="true" outlineLevel="0" collapsed="false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customFormat="false" ht="15.75" hidden="false" customHeight="true" outlineLevel="0" collapsed="false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customFormat="false" ht="15.75" hidden="false" customHeight="true" outlineLevel="0" collapsed="false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customFormat="false" ht="15.75" hidden="false" customHeight="true" outlineLevel="0" collapsed="false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customFormat="false" ht="15.75" hidden="false" customHeight="true" outlineLevel="0" collapsed="false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customFormat="false" ht="15.75" hidden="false" customHeight="true" outlineLevel="0" collapsed="false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customFormat="false" ht="15.75" hidden="false" customHeight="true" outlineLevel="0" collapsed="false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customFormat="false" ht="15.75" hidden="false" customHeight="true" outlineLevel="0" collapsed="false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customFormat="false" ht="15.75" hidden="false" customHeight="true" outlineLevel="0" collapsed="false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customFormat="false" ht="15.75" hidden="false" customHeight="true" outlineLevel="0" collapsed="false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customFormat="false" ht="15.75" hidden="false" customHeight="true" outlineLevel="0" collapsed="false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customFormat="false" ht="15.75" hidden="false" customHeight="true" outlineLevel="0" collapsed="false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customFormat="false" ht="15.75" hidden="false" customHeight="true" outlineLevel="0" collapsed="false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customFormat="false" ht="15.75" hidden="false" customHeight="true" outlineLevel="0" collapsed="false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customFormat="false" ht="15.75" hidden="false" customHeight="true" outlineLevel="0" collapsed="false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customFormat="false" ht="15.75" hidden="false" customHeight="true" outlineLevel="0" collapsed="false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customFormat="false" ht="15.75" hidden="false" customHeight="true" outlineLevel="0" collapsed="false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customFormat="false" ht="15.75" hidden="false" customHeight="true" outlineLevel="0" collapsed="false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customFormat="false" ht="15.75" hidden="false" customHeight="true" outlineLevel="0" collapsed="false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customFormat="false" ht="15.75" hidden="false" customHeight="true" outlineLevel="0" collapsed="false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customFormat="false" ht="15.75" hidden="false" customHeight="true" outlineLevel="0" collapsed="false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customFormat="false" ht="15.75" hidden="false" customHeight="true" outlineLevel="0" collapsed="false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customFormat="false" ht="15.75" hidden="false" customHeight="true" outlineLevel="0" collapsed="false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customFormat="false" ht="15.75" hidden="false" customHeight="true" outlineLevel="0" collapsed="false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customFormat="false" ht="15.75" hidden="false" customHeight="true" outlineLevel="0" collapsed="false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customFormat="false" ht="15.75" hidden="false" customHeight="true" outlineLevel="0" collapsed="false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customFormat="false" ht="15.75" hidden="false" customHeight="true" outlineLevel="0" collapsed="false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customFormat="false" ht="15.75" hidden="false" customHeight="true" outlineLevel="0" collapsed="false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customFormat="false" ht="15.75" hidden="false" customHeight="true" outlineLevel="0" collapsed="false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customFormat="false" ht="15.75" hidden="false" customHeight="true" outlineLevel="0" collapsed="false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customFormat="false" ht="15.75" hidden="false" customHeight="true" outlineLevel="0" collapsed="false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customFormat="false" ht="15.75" hidden="false" customHeight="true" outlineLevel="0" collapsed="false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customFormat="false" ht="15.75" hidden="false" customHeight="true" outlineLevel="0" collapsed="false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customFormat="false" ht="15.75" hidden="false" customHeight="true" outlineLevel="0" collapsed="false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customFormat="false" ht="15.75" hidden="false" customHeight="true" outlineLevel="0" collapsed="false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customFormat="false" ht="15.75" hidden="false" customHeight="true" outlineLevel="0" collapsed="false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customFormat="false" ht="15.75" hidden="false" customHeight="true" outlineLevel="0" collapsed="false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customFormat="false" ht="15.75" hidden="false" customHeight="true" outlineLevel="0" collapsed="false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customFormat="false" ht="15.75" hidden="false" customHeight="true" outlineLevel="0" collapsed="false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customFormat="false" ht="15.75" hidden="false" customHeight="true" outlineLevel="0" collapsed="false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customFormat="false" ht="15.75" hidden="false" customHeight="true" outlineLevel="0" collapsed="false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customFormat="false" ht="15.75" hidden="false" customHeight="true" outlineLevel="0" collapsed="false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customFormat="false" ht="15.75" hidden="false" customHeight="true" outlineLevel="0" collapsed="false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customFormat="false" ht="15.75" hidden="false" customHeight="true" outlineLevel="0" collapsed="false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customFormat="false" ht="15.75" hidden="false" customHeight="true" outlineLevel="0" collapsed="false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customFormat="false" ht="15.75" hidden="false" customHeight="true" outlineLevel="0" collapsed="false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customFormat="false" ht="15.75" hidden="false" customHeight="true" outlineLevel="0" collapsed="false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customFormat="false" ht="15.75" hidden="false" customHeight="true" outlineLevel="0" collapsed="false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customFormat="false" ht="15.75" hidden="false" customHeight="true" outlineLevel="0" collapsed="false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customFormat="false" ht="15.75" hidden="false" customHeight="true" outlineLevel="0" collapsed="false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customFormat="false" ht="15.75" hidden="false" customHeight="true" outlineLevel="0" collapsed="false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customFormat="false" ht="15.75" hidden="false" customHeight="true" outlineLevel="0" collapsed="false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customFormat="false" ht="15.75" hidden="false" customHeight="true" outlineLevel="0" collapsed="false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customFormat="false" ht="15.75" hidden="false" customHeight="true" outlineLevel="0" collapsed="false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customFormat="false" ht="15.75" hidden="false" customHeight="true" outlineLevel="0" collapsed="false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customFormat="false" ht="15.75" hidden="false" customHeight="true" outlineLevel="0" collapsed="false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customFormat="false" ht="15.75" hidden="false" customHeight="true" outlineLevel="0" collapsed="false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customFormat="false" ht="15.75" hidden="false" customHeight="true" outlineLevel="0" collapsed="false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customFormat="false" ht="15.75" hidden="false" customHeight="true" outlineLevel="0" collapsed="false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customFormat="false" ht="15.75" hidden="false" customHeight="true" outlineLevel="0" collapsed="false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customFormat="false" ht="15.75" hidden="false" customHeight="true" outlineLevel="0" collapsed="false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customFormat="false" ht="15.75" hidden="false" customHeight="true" outlineLevel="0" collapsed="false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customFormat="false" ht="15.75" hidden="false" customHeight="true" outlineLevel="0" collapsed="false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customFormat="false" ht="15.75" hidden="false" customHeight="true" outlineLevel="0" collapsed="false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customFormat="false" ht="15.75" hidden="false" customHeight="true" outlineLevel="0" collapsed="false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customFormat="false" ht="15.75" hidden="false" customHeight="true" outlineLevel="0" collapsed="false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customFormat="false" ht="15.75" hidden="false" customHeight="true" outlineLevel="0" collapsed="false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customFormat="false" ht="15.75" hidden="false" customHeight="true" outlineLevel="0" collapsed="false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customFormat="false" ht="15.75" hidden="false" customHeight="true" outlineLevel="0" collapsed="false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customFormat="false" ht="15.75" hidden="false" customHeight="true" outlineLevel="0" collapsed="false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customFormat="false" ht="15.75" hidden="false" customHeight="true" outlineLevel="0" collapsed="false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customFormat="false" ht="15.75" hidden="false" customHeight="true" outlineLevel="0" collapsed="false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customFormat="false" ht="15.75" hidden="false" customHeight="true" outlineLevel="0" collapsed="false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customFormat="false" ht="15.75" hidden="false" customHeight="true" outlineLevel="0" collapsed="false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customFormat="false" ht="15.75" hidden="false" customHeight="true" outlineLevel="0" collapsed="false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customFormat="false" ht="15.75" hidden="false" customHeight="true" outlineLevel="0" collapsed="false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customFormat="false" ht="15.75" hidden="false" customHeight="true" outlineLevel="0" collapsed="false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customFormat="false" ht="15.75" hidden="false" customHeight="true" outlineLevel="0" collapsed="false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customFormat="false" ht="15.75" hidden="false" customHeight="true" outlineLevel="0" collapsed="false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customFormat="false" ht="15.75" hidden="false" customHeight="true" outlineLevel="0" collapsed="false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customFormat="false" ht="15.75" hidden="false" customHeight="true" outlineLevel="0" collapsed="false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customFormat="false" ht="15.75" hidden="false" customHeight="true" outlineLevel="0" collapsed="false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customFormat="false" ht="15.75" hidden="false" customHeight="true" outlineLevel="0" collapsed="false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customFormat="false" ht="15.75" hidden="false" customHeight="true" outlineLevel="0" collapsed="false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customFormat="false" ht="15.75" hidden="false" customHeight="true" outlineLevel="0" collapsed="false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customFormat="false" ht="15.75" hidden="false" customHeight="true" outlineLevel="0" collapsed="false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customFormat="false" ht="15.75" hidden="false" customHeight="true" outlineLevel="0" collapsed="false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customFormat="false" ht="15.75" hidden="false" customHeight="true" outlineLevel="0" collapsed="false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customFormat="false" ht="15.75" hidden="false" customHeight="true" outlineLevel="0" collapsed="false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customFormat="false" ht="15.75" hidden="false" customHeight="true" outlineLevel="0" collapsed="false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customFormat="false" ht="15.75" hidden="false" customHeight="true" outlineLevel="0" collapsed="false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customFormat="false" ht="15.75" hidden="false" customHeight="true" outlineLevel="0" collapsed="false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customFormat="false" ht="15.75" hidden="false" customHeight="true" outlineLevel="0" collapsed="false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customFormat="false" ht="15.75" hidden="false" customHeight="true" outlineLevel="0" collapsed="false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customFormat="false" ht="15.75" hidden="false" customHeight="true" outlineLevel="0" collapsed="false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customFormat="false" ht="15.75" hidden="false" customHeight="true" outlineLevel="0" collapsed="false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customFormat="false" ht="15.75" hidden="false" customHeight="true" outlineLevel="0" collapsed="false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customFormat="false" ht="15.75" hidden="false" customHeight="true" outlineLevel="0" collapsed="false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customFormat="false" ht="15.75" hidden="false" customHeight="true" outlineLevel="0" collapsed="false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customFormat="false" ht="15.75" hidden="false" customHeight="true" outlineLevel="0" collapsed="false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customFormat="false" ht="15.75" hidden="false" customHeight="true" outlineLevel="0" collapsed="false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customFormat="false" ht="15.75" hidden="false" customHeight="true" outlineLevel="0" collapsed="false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customFormat="false" ht="15.75" hidden="false" customHeight="true" outlineLevel="0" collapsed="false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customFormat="false" ht="15.75" hidden="false" customHeight="true" outlineLevel="0" collapsed="false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customFormat="false" ht="15.75" hidden="false" customHeight="true" outlineLevel="0" collapsed="false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customFormat="false" ht="15.75" hidden="false" customHeight="true" outlineLevel="0" collapsed="false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customFormat="false" ht="15.75" hidden="false" customHeight="true" outlineLevel="0" collapsed="false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customFormat="false" ht="15.75" hidden="false" customHeight="true" outlineLevel="0" collapsed="false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customFormat="false" ht="15.75" hidden="false" customHeight="true" outlineLevel="0" collapsed="false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customFormat="false" ht="15.75" hidden="false" customHeight="true" outlineLevel="0" collapsed="false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customFormat="false" ht="15.75" hidden="false" customHeight="true" outlineLevel="0" collapsed="false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customFormat="false" ht="15.75" hidden="false" customHeight="true" outlineLevel="0" collapsed="false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customFormat="false" ht="15.75" hidden="false" customHeight="true" outlineLevel="0" collapsed="false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customFormat="false" ht="15.75" hidden="false" customHeight="true" outlineLevel="0" collapsed="false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customFormat="false" ht="15.75" hidden="false" customHeight="true" outlineLevel="0" collapsed="false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customFormat="false" ht="15.75" hidden="false" customHeight="true" outlineLevel="0" collapsed="false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customFormat="false" ht="15.75" hidden="false" customHeight="true" outlineLevel="0" collapsed="false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customFormat="false" ht="15.75" hidden="false" customHeight="true" outlineLevel="0" collapsed="false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customFormat="false" ht="15.75" hidden="false" customHeight="true" outlineLevel="0" collapsed="false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customFormat="false" ht="15.75" hidden="false" customHeight="true" outlineLevel="0" collapsed="false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customFormat="false" ht="15.75" hidden="false" customHeight="true" outlineLevel="0" collapsed="false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customFormat="false" ht="15.75" hidden="false" customHeight="true" outlineLevel="0" collapsed="false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customFormat="false" ht="15.75" hidden="false" customHeight="true" outlineLevel="0" collapsed="false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customFormat="false" ht="15.75" hidden="false" customHeight="true" outlineLevel="0" collapsed="false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customFormat="false" ht="15.75" hidden="false" customHeight="true" outlineLevel="0" collapsed="false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customFormat="false" ht="15.75" hidden="false" customHeight="true" outlineLevel="0" collapsed="false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customFormat="false" ht="15.75" hidden="false" customHeight="true" outlineLevel="0" collapsed="false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customFormat="false" ht="15.75" hidden="false" customHeight="true" outlineLevel="0" collapsed="false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customFormat="false" ht="15.75" hidden="false" customHeight="true" outlineLevel="0" collapsed="false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customFormat="false" ht="15.75" hidden="false" customHeight="true" outlineLevel="0" collapsed="false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customFormat="false" ht="15.75" hidden="false" customHeight="true" outlineLevel="0" collapsed="false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customFormat="false" ht="15.75" hidden="false" customHeight="true" outlineLevel="0" collapsed="false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customFormat="false" ht="15.75" hidden="false" customHeight="true" outlineLevel="0" collapsed="false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customFormat="false" ht="15.75" hidden="false" customHeight="true" outlineLevel="0" collapsed="false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customFormat="false" ht="15.75" hidden="false" customHeight="true" outlineLevel="0" collapsed="false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customFormat="false" ht="15.75" hidden="false" customHeight="true" outlineLevel="0" collapsed="false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customFormat="false" ht="15.75" hidden="false" customHeight="true" outlineLevel="0" collapsed="false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customFormat="false" ht="15.75" hidden="false" customHeight="true" outlineLevel="0" collapsed="false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customFormat="false" ht="15.75" hidden="false" customHeight="true" outlineLevel="0" collapsed="false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customFormat="false" ht="15.75" hidden="false" customHeight="true" outlineLevel="0" collapsed="false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customFormat="false" ht="15.75" hidden="false" customHeight="true" outlineLevel="0" collapsed="false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customFormat="false" ht="15.75" hidden="false" customHeight="true" outlineLevel="0" collapsed="false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customFormat="false" ht="15.75" hidden="false" customHeight="true" outlineLevel="0" collapsed="false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customFormat="false" ht="15.75" hidden="false" customHeight="true" outlineLevel="0" collapsed="false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customFormat="false" ht="15.75" hidden="false" customHeight="true" outlineLevel="0" collapsed="false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customFormat="false" ht="15.75" hidden="false" customHeight="true" outlineLevel="0" collapsed="false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customFormat="false" ht="15.75" hidden="false" customHeight="true" outlineLevel="0" collapsed="false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customFormat="false" ht="15.75" hidden="false" customHeight="true" outlineLevel="0" collapsed="false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customFormat="false" ht="15.75" hidden="false" customHeight="true" outlineLevel="0" collapsed="false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customFormat="false" ht="15.75" hidden="false" customHeight="true" outlineLevel="0" collapsed="false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customFormat="false" ht="15.75" hidden="false" customHeight="true" outlineLevel="0" collapsed="false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customFormat="false" ht="15.75" hidden="false" customHeight="true" outlineLevel="0" collapsed="false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customFormat="false" ht="15.75" hidden="false" customHeight="true" outlineLevel="0" collapsed="false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customFormat="false" ht="15.75" hidden="false" customHeight="true" outlineLevel="0" collapsed="false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customFormat="false" ht="15.75" hidden="false" customHeight="true" outlineLevel="0" collapsed="false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customFormat="false" ht="15.75" hidden="false" customHeight="true" outlineLevel="0" collapsed="false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customFormat="false" ht="15.75" hidden="false" customHeight="true" outlineLevel="0" collapsed="false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customFormat="false" ht="15.75" hidden="false" customHeight="true" outlineLevel="0" collapsed="false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customFormat="false" ht="15.75" hidden="false" customHeight="true" outlineLevel="0" collapsed="false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customFormat="false" ht="15.75" hidden="false" customHeight="true" outlineLevel="0" collapsed="false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customFormat="false" ht="15.75" hidden="false" customHeight="true" outlineLevel="0" collapsed="false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customFormat="false" ht="15.75" hidden="false" customHeight="true" outlineLevel="0" collapsed="false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customFormat="false" ht="15.75" hidden="false" customHeight="true" outlineLevel="0" collapsed="false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customFormat="false" ht="15.75" hidden="false" customHeight="true" outlineLevel="0" collapsed="false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customFormat="false" ht="15.75" hidden="false" customHeight="true" outlineLevel="0" collapsed="false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customFormat="false" ht="15.75" hidden="false" customHeight="true" outlineLevel="0" collapsed="false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customFormat="false" ht="15.75" hidden="false" customHeight="true" outlineLevel="0" collapsed="false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customFormat="false" ht="15.75" hidden="false" customHeight="true" outlineLevel="0" collapsed="false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customFormat="false" ht="15.75" hidden="false" customHeight="true" outlineLevel="0" collapsed="false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customFormat="false" ht="15.75" hidden="false" customHeight="true" outlineLevel="0" collapsed="false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customFormat="false" ht="15.75" hidden="false" customHeight="true" outlineLevel="0" collapsed="false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customFormat="false" ht="15.75" hidden="false" customHeight="true" outlineLevel="0" collapsed="false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customFormat="false" ht="15.75" hidden="false" customHeight="true" outlineLevel="0" collapsed="false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customFormat="false" ht="15.75" hidden="false" customHeight="true" outlineLevel="0" collapsed="false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customFormat="false" ht="15.75" hidden="false" customHeight="true" outlineLevel="0" collapsed="false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customFormat="false" ht="15.75" hidden="false" customHeight="true" outlineLevel="0" collapsed="false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customFormat="false" ht="15.75" hidden="false" customHeight="true" outlineLevel="0" collapsed="false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customFormat="false" ht="15.75" hidden="false" customHeight="true" outlineLevel="0" collapsed="false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customFormat="false" ht="15.75" hidden="false" customHeight="true" outlineLevel="0" collapsed="false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customFormat="false" ht="15.75" hidden="false" customHeight="true" outlineLevel="0" collapsed="false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customFormat="false" ht="15.75" hidden="false" customHeight="true" outlineLevel="0" collapsed="false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customFormat="false" ht="15.75" hidden="false" customHeight="true" outlineLevel="0" collapsed="false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customFormat="false" ht="15.75" hidden="false" customHeight="true" outlineLevel="0" collapsed="false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customFormat="false" ht="15.75" hidden="false" customHeight="true" outlineLevel="0" collapsed="false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customFormat="false" ht="15.75" hidden="false" customHeight="true" outlineLevel="0" collapsed="false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customFormat="false" ht="15.75" hidden="false" customHeight="true" outlineLevel="0" collapsed="false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customFormat="false" ht="15.75" hidden="false" customHeight="true" outlineLevel="0" collapsed="false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customFormat="false" ht="15.75" hidden="false" customHeight="true" outlineLevel="0" collapsed="false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customFormat="false" ht="15.75" hidden="false" customHeight="true" outlineLevel="0" collapsed="false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customFormat="false" ht="15.75" hidden="false" customHeight="true" outlineLevel="0" collapsed="false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customFormat="false" ht="15.75" hidden="false" customHeight="true" outlineLevel="0" collapsed="false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customFormat="false" ht="15.75" hidden="false" customHeight="true" outlineLevel="0" collapsed="false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customFormat="false" ht="15.75" hidden="false" customHeight="true" outlineLevel="0" collapsed="false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customFormat="false" ht="15.75" hidden="false" customHeight="true" outlineLevel="0" collapsed="false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customFormat="false" ht="15.75" hidden="false" customHeight="true" outlineLevel="0" collapsed="false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customFormat="false" ht="15.75" hidden="false" customHeight="true" outlineLevel="0" collapsed="false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customFormat="false" ht="15.75" hidden="false" customHeight="true" outlineLevel="0" collapsed="false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customFormat="false" ht="15.75" hidden="false" customHeight="true" outlineLevel="0" collapsed="false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customFormat="false" ht="15.75" hidden="false" customHeight="true" outlineLevel="0" collapsed="false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customFormat="false" ht="15.75" hidden="false" customHeight="true" outlineLevel="0" collapsed="false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customFormat="false" ht="15.75" hidden="false" customHeight="true" outlineLevel="0" collapsed="false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customFormat="false" ht="15.75" hidden="false" customHeight="true" outlineLevel="0" collapsed="false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customFormat="false" ht="15.75" hidden="false" customHeight="true" outlineLevel="0" collapsed="false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customFormat="false" ht="15.75" hidden="false" customHeight="true" outlineLevel="0" collapsed="false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customFormat="false" ht="15.75" hidden="false" customHeight="true" outlineLevel="0" collapsed="false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customFormat="false" ht="15.75" hidden="false" customHeight="true" outlineLevel="0" collapsed="false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customFormat="false" ht="15.75" hidden="false" customHeight="true" outlineLevel="0" collapsed="false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customFormat="false" ht="15.75" hidden="false" customHeight="true" outlineLevel="0" collapsed="false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customFormat="false" ht="15.75" hidden="false" customHeight="true" outlineLevel="0" collapsed="false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customFormat="false" ht="15.75" hidden="false" customHeight="true" outlineLevel="0" collapsed="false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customFormat="false" ht="15.75" hidden="false" customHeight="true" outlineLevel="0" collapsed="false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customFormat="false" ht="15.75" hidden="false" customHeight="true" outlineLevel="0" collapsed="false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customFormat="false" ht="15.75" hidden="false" customHeight="true" outlineLevel="0" collapsed="false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customFormat="false" ht="15.75" hidden="false" customHeight="true" outlineLevel="0" collapsed="false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customFormat="false" ht="15.75" hidden="false" customHeight="true" outlineLevel="0" collapsed="false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customFormat="false" ht="15.75" hidden="false" customHeight="true" outlineLevel="0" collapsed="false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customFormat="false" ht="15.75" hidden="false" customHeight="true" outlineLevel="0" collapsed="false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customFormat="false" ht="15.75" hidden="false" customHeight="true" outlineLevel="0" collapsed="false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customFormat="false" ht="15.75" hidden="false" customHeight="true" outlineLevel="0" collapsed="false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customFormat="false" ht="15.75" hidden="false" customHeight="true" outlineLevel="0" collapsed="false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customFormat="false" ht="15.75" hidden="false" customHeight="true" outlineLevel="0" collapsed="false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customFormat="false" ht="15.75" hidden="false" customHeight="true" outlineLevel="0" collapsed="false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customFormat="false" ht="15.75" hidden="false" customHeight="true" outlineLevel="0" collapsed="false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customFormat="false" ht="15.75" hidden="false" customHeight="true" outlineLevel="0" collapsed="false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customFormat="false" ht="15.75" hidden="false" customHeight="true" outlineLevel="0" collapsed="false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customFormat="false" ht="15.75" hidden="false" customHeight="true" outlineLevel="0" collapsed="false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customFormat="false" ht="15.75" hidden="false" customHeight="true" outlineLevel="0" collapsed="false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customFormat="false" ht="15.75" hidden="false" customHeight="true" outlineLevel="0" collapsed="false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customFormat="false" ht="15.75" hidden="false" customHeight="true" outlineLevel="0" collapsed="false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customFormat="false" ht="15.75" hidden="false" customHeight="true" outlineLevel="0" collapsed="false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customFormat="false" ht="15.75" hidden="false" customHeight="true" outlineLevel="0" collapsed="false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customFormat="false" ht="15.75" hidden="false" customHeight="true" outlineLevel="0" collapsed="false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customFormat="false" ht="15.75" hidden="false" customHeight="true" outlineLevel="0" collapsed="false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customFormat="false" ht="15.75" hidden="false" customHeight="true" outlineLevel="0" collapsed="false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customFormat="false" ht="15.75" hidden="false" customHeight="true" outlineLevel="0" collapsed="false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customFormat="false" ht="15.75" hidden="false" customHeight="true" outlineLevel="0" collapsed="false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customFormat="false" ht="15.75" hidden="false" customHeight="true" outlineLevel="0" collapsed="false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customFormat="false" ht="15.75" hidden="false" customHeight="true" outlineLevel="0" collapsed="false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customFormat="false" ht="15.75" hidden="false" customHeight="true" outlineLevel="0" collapsed="false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customFormat="false" ht="15.75" hidden="false" customHeight="true" outlineLevel="0" collapsed="false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customFormat="false" ht="15.75" hidden="false" customHeight="true" outlineLevel="0" collapsed="false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customFormat="false" ht="15.75" hidden="false" customHeight="true" outlineLevel="0" collapsed="false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customFormat="false" ht="15.75" hidden="false" customHeight="true" outlineLevel="0" collapsed="false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customFormat="false" ht="15.75" hidden="false" customHeight="true" outlineLevel="0" collapsed="false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customFormat="false" ht="15.75" hidden="false" customHeight="true" outlineLevel="0" collapsed="false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customFormat="false" ht="15.75" hidden="false" customHeight="true" outlineLevel="0" collapsed="false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customFormat="false" ht="15.75" hidden="false" customHeight="true" outlineLevel="0" collapsed="false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customFormat="false" ht="15.75" hidden="false" customHeight="true" outlineLevel="0" collapsed="false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customFormat="false" ht="15.75" hidden="false" customHeight="true" outlineLevel="0" collapsed="false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customFormat="false" ht="15.75" hidden="false" customHeight="true" outlineLevel="0" collapsed="false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customFormat="false" ht="15.75" hidden="false" customHeight="true" outlineLevel="0" collapsed="false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customFormat="false" ht="15.75" hidden="false" customHeight="true" outlineLevel="0" collapsed="false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customFormat="false" ht="15.75" hidden="false" customHeight="true" outlineLevel="0" collapsed="false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customFormat="false" ht="15.75" hidden="false" customHeight="true" outlineLevel="0" collapsed="false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customFormat="false" ht="15.75" hidden="false" customHeight="true" outlineLevel="0" collapsed="false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customFormat="false" ht="15.75" hidden="false" customHeight="true" outlineLevel="0" collapsed="false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customFormat="false" ht="15.75" hidden="false" customHeight="true" outlineLevel="0" collapsed="false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customFormat="false" ht="15.75" hidden="false" customHeight="true" outlineLevel="0" collapsed="false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customFormat="false" ht="15.75" hidden="false" customHeight="true" outlineLevel="0" collapsed="false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customFormat="false" ht="15.75" hidden="false" customHeight="true" outlineLevel="0" collapsed="false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customFormat="false" ht="15.75" hidden="false" customHeight="true" outlineLevel="0" collapsed="false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customFormat="false" ht="15.75" hidden="false" customHeight="true" outlineLevel="0" collapsed="false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customFormat="false" ht="15.75" hidden="false" customHeight="true" outlineLevel="0" collapsed="false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customFormat="false" ht="15.75" hidden="false" customHeight="true" outlineLevel="0" collapsed="false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customFormat="false" ht="15.75" hidden="false" customHeight="true" outlineLevel="0" collapsed="false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customFormat="false" ht="15.75" hidden="false" customHeight="true" outlineLevel="0" collapsed="false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customFormat="false" ht="15.75" hidden="false" customHeight="true" outlineLevel="0" collapsed="false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customFormat="false" ht="15.75" hidden="false" customHeight="true" outlineLevel="0" collapsed="false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customFormat="false" ht="15.75" hidden="false" customHeight="true" outlineLevel="0" collapsed="false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customFormat="false" ht="15.75" hidden="false" customHeight="true" outlineLevel="0" collapsed="false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customFormat="false" ht="15.75" hidden="false" customHeight="true" outlineLevel="0" collapsed="false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customFormat="false" ht="15.75" hidden="false" customHeight="true" outlineLevel="0" collapsed="false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customFormat="false" ht="15.75" hidden="false" customHeight="true" outlineLevel="0" collapsed="false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customFormat="false" ht="15.75" hidden="false" customHeight="true" outlineLevel="0" collapsed="false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customFormat="false" ht="15.75" hidden="false" customHeight="true" outlineLevel="0" collapsed="false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customFormat="false" ht="15.75" hidden="false" customHeight="true" outlineLevel="0" collapsed="false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customFormat="false" ht="15.75" hidden="false" customHeight="true" outlineLevel="0" collapsed="false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customFormat="false" ht="15.75" hidden="false" customHeight="true" outlineLevel="0" collapsed="false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customFormat="false" ht="15.75" hidden="false" customHeight="true" outlineLevel="0" collapsed="false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customFormat="false" ht="15.75" hidden="false" customHeight="true" outlineLevel="0" collapsed="false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customFormat="false" ht="15.75" hidden="false" customHeight="true" outlineLevel="0" collapsed="false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customFormat="false" ht="15.75" hidden="false" customHeight="true" outlineLevel="0" collapsed="false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customFormat="false" ht="15.75" hidden="false" customHeight="true" outlineLevel="0" collapsed="false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customFormat="false" ht="15.75" hidden="false" customHeight="true" outlineLevel="0" collapsed="false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customFormat="false" ht="15.75" hidden="false" customHeight="true" outlineLevel="0" collapsed="false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customFormat="false" ht="15.75" hidden="false" customHeight="true" outlineLevel="0" collapsed="false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customFormat="false" ht="15.75" hidden="false" customHeight="true" outlineLevel="0" collapsed="false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customFormat="false" ht="15.75" hidden="false" customHeight="true" outlineLevel="0" collapsed="false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customFormat="false" ht="15.75" hidden="false" customHeight="true" outlineLevel="0" collapsed="false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customFormat="false" ht="15.75" hidden="false" customHeight="true" outlineLevel="0" collapsed="false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customFormat="false" ht="15.75" hidden="false" customHeight="true" outlineLevel="0" collapsed="false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customFormat="false" ht="15.75" hidden="false" customHeight="true" outlineLevel="0" collapsed="false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customFormat="false" ht="15.75" hidden="false" customHeight="true" outlineLevel="0" collapsed="false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customFormat="false" ht="15.75" hidden="false" customHeight="true" outlineLevel="0" collapsed="false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customFormat="false" ht="15.75" hidden="false" customHeight="true" outlineLevel="0" collapsed="false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customFormat="false" ht="15.75" hidden="false" customHeight="true" outlineLevel="0" collapsed="false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customFormat="false" ht="15.75" hidden="false" customHeight="true" outlineLevel="0" collapsed="false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customFormat="false" ht="15.75" hidden="false" customHeight="true" outlineLevel="0" collapsed="false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customFormat="false" ht="15.75" hidden="false" customHeight="true" outlineLevel="0" collapsed="false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customFormat="false" ht="15.75" hidden="false" customHeight="true" outlineLevel="0" collapsed="false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customFormat="false" ht="15.75" hidden="false" customHeight="true" outlineLevel="0" collapsed="false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customFormat="false" ht="15.75" hidden="false" customHeight="true" outlineLevel="0" collapsed="false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customFormat="false" ht="15.75" hidden="false" customHeight="true" outlineLevel="0" collapsed="false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customFormat="false" ht="15.75" hidden="false" customHeight="true" outlineLevel="0" collapsed="false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customFormat="false" ht="15.75" hidden="false" customHeight="true" outlineLevel="0" collapsed="false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customFormat="false" ht="15.75" hidden="false" customHeight="true" outlineLevel="0" collapsed="false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customFormat="false" ht="15.75" hidden="false" customHeight="true" outlineLevel="0" collapsed="false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customFormat="false" ht="15.75" hidden="false" customHeight="true" outlineLevel="0" collapsed="false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customFormat="false" ht="15.75" hidden="false" customHeight="true" outlineLevel="0" collapsed="false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customFormat="false" ht="15.75" hidden="false" customHeight="true" outlineLevel="0" collapsed="false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customFormat="false" ht="15.75" hidden="false" customHeight="true" outlineLevel="0" collapsed="false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customFormat="false" ht="15.75" hidden="false" customHeight="true" outlineLevel="0" collapsed="false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customFormat="false" ht="15.75" hidden="false" customHeight="true" outlineLevel="0" collapsed="false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customFormat="false" ht="15.75" hidden="false" customHeight="true" outlineLevel="0" collapsed="false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customFormat="false" ht="15.75" hidden="false" customHeight="true" outlineLevel="0" collapsed="false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customFormat="false" ht="15.75" hidden="false" customHeight="true" outlineLevel="0" collapsed="false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customFormat="false" ht="15.75" hidden="false" customHeight="true" outlineLevel="0" collapsed="false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customFormat="false" ht="15.75" hidden="false" customHeight="true" outlineLevel="0" collapsed="false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customFormat="false" ht="15.75" hidden="false" customHeight="true" outlineLevel="0" collapsed="false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customFormat="false" ht="15.75" hidden="false" customHeight="true" outlineLevel="0" collapsed="false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customFormat="false" ht="15.75" hidden="false" customHeight="true" outlineLevel="0" collapsed="false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customFormat="false" ht="15.75" hidden="false" customHeight="true" outlineLevel="0" collapsed="false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customFormat="false" ht="15.75" hidden="false" customHeight="true" outlineLevel="0" collapsed="false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customFormat="false" ht="15.75" hidden="false" customHeight="true" outlineLevel="0" collapsed="false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customFormat="false" ht="15.75" hidden="false" customHeight="true" outlineLevel="0" collapsed="false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customFormat="false" ht="15.75" hidden="false" customHeight="true" outlineLevel="0" collapsed="false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customFormat="false" ht="15.75" hidden="false" customHeight="true" outlineLevel="0" collapsed="false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customFormat="false" ht="15.75" hidden="false" customHeight="true" outlineLevel="0" collapsed="false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customFormat="false" ht="15.75" hidden="false" customHeight="true" outlineLevel="0" collapsed="false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customFormat="false" ht="15.75" hidden="false" customHeight="true" outlineLevel="0" collapsed="false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customFormat="false" ht="15.75" hidden="false" customHeight="true" outlineLevel="0" collapsed="false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customFormat="false" ht="15.75" hidden="false" customHeight="true" outlineLevel="0" collapsed="false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customFormat="false" ht="15.75" hidden="false" customHeight="true" outlineLevel="0" collapsed="false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customFormat="false" ht="15.75" hidden="false" customHeight="true" outlineLevel="0" collapsed="false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customFormat="false" ht="15.75" hidden="false" customHeight="true" outlineLevel="0" collapsed="false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customFormat="false" ht="15.75" hidden="false" customHeight="true" outlineLevel="0" collapsed="false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customFormat="false" ht="15.75" hidden="false" customHeight="true" outlineLevel="0" collapsed="false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customFormat="false" ht="15.75" hidden="false" customHeight="true" outlineLevel="0" collapsed="false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customFormat="false" ht="15.75" hidden="false" customHeight="true" outlineLevel="0" collapsed="false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customFormat="false" ht="15.75" hidden="false" customHeight="true" outlineLevel="0" collapsed="false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customFormat="false" ht="15.75" hidden="false" customHeight="true" outlineLevel="0" collapsed="false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customFormat="false" ht="15.75" hidden="false" customHeight="true" outlineLevel="0" collapsed="false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customFormat="false" ht="15.75" hidden="false" customHeight="true" outlineLevel="0" collapsed="false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customFormat="false" ht="15.75" hidden="false" customHeight="true" outlineLevel="0" collapsed="false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customFormat="false" ht="15.75" hidden="false" customHeight="true" outlineLevel="0" collapsed="false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customFormat="false" ht="15.75" hidden="false" customHeight="true" outlineLevel="0" collapsed="false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customFormat="false" ht="15.75" hidden="false" customHeight="true" outlineLevel="0" collapsed="false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customFormat="false" ht="15.75" hidden="false" customHeight="true" outlineLevel="0" collapsed="false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customFormat="false" ht="15.75" hidden="false" customHeight="true" outlineLevel="0" collapsed="false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customFormat="false" ht="15.75" hidden="false" customHeight="true" outlineLevel="0" collapsed="false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customFormat="false" ht="15.75" hidden="false" customHeight="true" outlineLevel="0" collapsed="false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customFormat="false" ht="15.75" hidden="false" customHeight="true" outlineLevel="0" collapsed="false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customFormat="false" ht="15.75" hidden="false" customHeight="true" outlineLevel="0" collapsed="false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customFormat="false" ht="15.75" hidden="false" customHeight="true" outlineLevel="0" collapsed="false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customFormat="false" ht="15.75" hidden="false" customHeight="true" outlineLevel="0" collapsed="false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customFormat="false" ht="15.75" hidden="false" customHeight="true" outlineLevel="0" collapsed="false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customFormat="false" ht="15.75" hidden="false" customHeight="true" outlineLevel="0" collapsed="false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customFormat="false" ht="15.75" hidden="false" customHeight="true" outlineLevel="0" collapsed="false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customFormat="false" ht="15.75" hidden="false" customHeight="true" outlineLevel="0" collapsed="false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customFormat="false" ht="15.75" hidden="false" customHeight="true" outlineLevel="0" collapsed="false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customFormat="false" ht="15.75" hidden="false" customHeight="true" outlineLevel="0" collapsed="false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customFormat="false" ht="15.75" hidden="false" customHeight="true" outlineLevel="0" collapsed="false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customFormat="false" ht="15.75" hidden="false" customHeight="true" outlineLevel="0" collapsed="false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customFormat="false" ht="15.75" hidden="false" customHeight="true" outlineLevel="0" collapsed="false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customFormat="false" ht="15.75" hidden="false" customHeight="true" outlineLevel="0" collapsed="false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customFormat="false" ht="15.75" hidden="false" customHeight="true" outlineLevel="0" collapsed="false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customFormat="false" ht="15.75" hidden="false" customHeight="true" outlineLevel="0" collapsed="false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customFormat="false" ht="15.75" hidden="false" customHeight="true" outlineLevel="0" collapsed="false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customFormat="false" ht="15.75" hidden="false" customHeight="true" outlineLevel="0" collapsed="false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customFormat="false" ht="15.75" hidden="false" customHeight="true" outlineLevel="0" collapsed="false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customFormat="false" ht="15.75" hidden="false" customHeight="true" outlineLevel="0" collapsed="false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customFormat="false" ht="15.75" hidden="false" customHeight="true" outlineLevel="0" collapsed="false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customFormat="false" ht="15.75" hidden="false" customHeight="true" outlineLevel="0" collapsed="false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customFormat="false" ht="15.75" hidden="false" customHeight="true" outlineLevel="0" collapsed="false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customFormat="false" ht="15.75" hidden="false" customHeight="true" outlineLevel="0" collapsed="false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customFormat="false" ht="15.75" hidden="false" customHeight="true" outlineLevel="0" collapsed="false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customFormat="false" ht="15.75" hidden="false" customHeight="true" outlineLevel="0" collapsed="false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customFormat="false" ht="15.75" hidden="false" customHeight="true" outlineLevel="0" collapsed="false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customFormat="false" ht="15.75" hidden="false" customHeight="true" outlineLevel="0" collapsed="false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customFormat="false" ht="15.75" hidden="false" customHeight="true" outlineLevel="0" collapsed="false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customFormat="false" ht="15.75" hidden="false" customHeight="true" outlineLevel="0" collapsed="false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customFormat="false" ht="15.75" hidden="false" customHeight="true" outlineLevel="0" collapsed="false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customFormat="false" ht="15.75" hidden="false" customHeight="true" outlineLevel="0" collapsed="false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customFormat="false" ht="15.75" hidden="false" customHeight="true" outlineLevel="0" collapsed="false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customFormat="false" ht="15.75" hidden="false" customHeight="true" outlineLevel="0" collapsed="false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customFormat="false" ht="15.75" hidden="false" customHeight="true" outlineLevel="0" collapsed="false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customFormat="false" ht="15.75" hidden="false" customHeight="true" outlineLevel="0" collapsed="false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customFormat="false" ht="15.75" hidden="false" customHeight="true" outlineLevel="0" collapsed="false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customFormat="false" ht="15.75" hidden="false" customHeight="true" outlineLevel="0" collapsed="false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customFormat="false" ht="15.75" hidden="false" customHeight="true" outlineLevel="0" collapsed="false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customFormat="false" ht="15.75" hidden="false" customHeight="true" outlineLevel="0" collapsed="false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customFormat="false" ht="15.75" hidden="false" customHeight="true" outlineLevel="0" collapsed="false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customFormat="false" ht="15.75" hidden="false" customHeight="true" outlineLevel="0" collapsed="false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customFormat="false" ht="15.75" hidden="false" customHeight="true" outlineLevel="0" collapsed="false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customFormat="false" ht="15.75" hidden="false" customHeight="true" outlineLevel="0" collapsed="false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customFormat="false" ht="15.75" hidden="false" customHeight="true" outlineLevel="0" collapsed="false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customFormat="false" ht="15.75" hidden="false" customHeight="true" outlineLevel="0" collapsed="false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customFormat="false" ht="15.75" hidden="false" customHeight="true" outlineLevel="0" collapsed="false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customFormat="false" ht="15.75" hidden="false" customHeight="true" outlineLevel="0" collapsed="false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customFormat="false" ht="15.75" hidden="false" customHeight="true" outlineLevel="0" collapsed="false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customFormat="false" ht="15.75" hidden="false" customHeight="true" outlineLevel="0" collapsed="false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customFormat="false" ht="15.75" hidden="false" customHeight="true" outlineLevel="0" collapsed="false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customFormat="false" ht="15.75" hidden="false" customHeight="true" outlineLevel="0" collapsed="false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customFormat="false" ht="15.75" hidden="false" customHeight="true" outlineLevel="0" collapsed="false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customFormat="false" ht="15.75" hidden="false" customHeight="true" outlineLevel="0" collapsed="false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customFormat="false" ht="15.75" hidden="false" customHeight="true" outlineLevel="0" collapsed="false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customFormat="false" ht="15.75" hidden="false" customHeight="true" outlineLevel="0" collapsed="false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customFormat="false" ht="15.75" hidden="false" customHeight="true" outlineLevel="0" collapsed="false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customFormat="false" ht="15.75" hidden="false" customHeight="true" outlineLevel="0" collapsed="false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customFormat="false" ht="15.75" hidden="false" customHeight="true" outlineLevel="0" collapsed="false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customFormat="false" ht="15.75" hidden="false" customHeight="true" outlineLevel="0" collapsed="false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customFormat="false" ht="15.75" hidden="false" customHeight="true" outlineLevel="0" collapsed="false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customFormat="false" ht="15.75" hidden="false" customHeight="true" outlineLevel="0" collapsed="false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customFormat="false" ht="15.75" hidden="false" customHeight="true" outlineLevel="0" collapsed="false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customFormat="false" ht="15.75" hidden="false" customHeight="true" outlineLevel="0" collapsed="false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customFormat="false" ht="15.75" hidden="false" customHeight="true" outlineLevel="0" collapsed="false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customFormat="false" ht="15.75" hidden="false" customHeight="true" outlineLevel="0" collapsed="false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customFormat="false" ht="15.75" hidden="false" customHeight="true" outlineLevel="0" collapsed="false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customFormat="false" ht="15.75" hidden="false" customHeight="true" outlineLevel="0" collapsed="false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customFormat="false" ht="15.75" hidden="false" customHeight="true" outlineLevel="0" collapsed="false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customFormat="false" ht="15.75" hidden="false" customHeight="true" outlineLevel="0" collapsed="false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customFormat="false" ht="15.75" hidden="false" customHeight="true" outlineLevel="0" collapsed="false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customFormat="false" ht="15.75" hidden="false" customHeight="true" outlineLevel="0" collapsed="false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customFormat="false" ht="15.75" hidden="false" customHeight="true" outlineLevel="0" collapsed="false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customFormat="false" ht="15.75" hidden="false" customHeight="true" outlineLevel="0" collapsed="false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customFormat="false" ht="15.75" hidden="false" customHeight="true" outlineLevel="0" collapsed="false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customFormat="false" ht="15.75" hidden="false" customHeight="true" outlineLevel="0" collapsed="false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customFormat="false" ht="15.75" hidden="false" customHeight="true" outlineLevel="0" collapsed="false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customFormat="false" ht="15.75" hidden="false" customHeight="true" outlineLevel="0" collapsed="false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customFormat="false" ht="15.75" hidden="false" customHeight="true" outlineLevel="0" collapsed="false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customFormat="false" ht="15.75" hidden="false" customHeight="true" outlineLevel="0" collapsed="false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customFormat="false" ht="15.75" hidden="false" customHeight="true" outlineLevel="0" collapsed="false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customFormat="false" ht="15.75" hidden="false" customHeight="true" outlineLevel="0" collapsed="false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customFormat="false" ht="15.75" hidden="false" customHeight="true" outlineLevel="0" collapsed="false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customFormat="false" ht="15.75" hidden="false" customHeight="true" outlineLevel="0" collapsed="false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customFormat="false" ht="15.75" hidden="false" customHeight="true" outlineLevel="0" collapsed="false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customFormat="false" ht="15.75" hidden="false" customHeight="true" outlineLevel="0" collapsed="false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customFormat="false" ht="15.75" hidden="false" customHeight="true" outlineLevel="0" collapsed="false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customFormat="false" ht="15.75" hidden="false" customHeight="true" outlineLevel="0" collapsed="false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customFormat="false" ht="15.75" hidden="false" customHeight="true" outlineLevel="0" collapsed="false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customFormat="false" ht="15.75" hidden="false" customHeight="true" outlineLevel="0" collapsed="false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customFormat="false" ht="15.75" hidden="false" customHeight="true" outlineLevel="0" collapsed="false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customFormat="false" ht="15.75" hidden="false" customHeight="true" outlineLevel="0" collapsed="false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customFormat="false" ht="15.75" hidden="false" customHeight="true" outlineLevel="0" collapsed="false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customFormat="false" ht="15.75" hidden="false" customHeight="true" outlineLevel="0" collapsed="false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customFormat="false" ht="15.75" hidden="false" customHeight="true" outlineLevel="0" collapsed="false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customFormat="false" ht="15.75" hidden="false" customHeight="true" outlineLevel="0" collapsed="false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customFormat="false" ht="15.75" hidden="false" customHeight="true" outlineLevel="0" collapsed="false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customFormat="false" ht="15.75" hidden="false" customHeight="true" outlineLevel="0" collapsed="false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customFormat="false" ht="15.75" hidden="false" customHeight="true" outlineLevel="0" collapsed="false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customFormat="false" ht="15.75" hidden="false" customHeight="true" outlineLevel="0" collapsed="false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customFormat="false" ht="15.75" hidden="false" customHeight="true" outlineLevel="0" collapsed="false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customFormat="false" ht="15.75" hidden="false" customHeight="true" outlineLevel="0" collapsed="false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customFormat="false" ht="15.75" hidden="false" customHeight="true" outlineLevel="0" collapsed="false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customFormat="false" ht="15.75" hidden="false" customHeight="true" outlineLevel="0" collapsed="false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customFormat="false" ht="15.75" hidden="false" customHeight="true" outlineLevel="0" collapsed="false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customFormat="false" ht="15.75" hidden="false" customHeight="true" outlineLevel="0" collapsed="false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customFormat="false" ht="15.75" hidden="false" customHeight="true" outlineLevel="0" collapsed="false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customFormat="false" ht="15.75" hidden="false" customHeight="true" outlineLevel="0" collapsed="false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customFormat="false" ht="15.75" hidden="false" customHeight="true" outlineLevel="0" collapsed="false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customFormat="false" ht="15.75" hidden="false" customHeight="true" outlineLevel="0" collapsed="false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customFormat="false" ht="15.75" hidden="false" customHeight="true" outlineLevel="0" collapsed="false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customFormat="false" ht="15.75" hidden="false" customHeight="true" outlineLevel="0" collapsed="false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customFormat="false" ht="15.75" hidden="false" customHeight="true" outlineLevel="0" collapsed="false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customFormat="false" ht="15.75" hidden="false" customHeight="true" outlineLevel="0" collapsed="false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customFormat="false" ht="15.75" hidden="false" customHeight="true" outlineLevel="0" collapsed="false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customFormat="false" ht="15.75" hidden="false" customHeight="true" outlineLevel="0" collapsed="false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customFormat="false" ht="15.75" hidden="false" customHeight="true" outlineLevel="0" collapsed="false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customFormat="false" ht="15.75" hidden="false" customHeight="true" outlineLevel="0" collapsed="false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customFormat="false" ht="15.75" hidden="false" customHeight="true" outlineLevel="0" collapsed="false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customFormat="false" ht="15.75" hidden="false" customHeight="true" outlineLevel="0" collapsed="false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customFormat="false" ht="15.75" hidden="false" customHeight="true" outlineLevel="0" collapsed="false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customFormat="false" ht="15.75" hidden="false" customHeight="true" outlineLevel="0" collapsed="false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customFormat="false" ht="15.75" hidden="false" customHeight="true" outlineLevel="0" collapsed="false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customFormat="false" ht="15.75" hidden="false" customHeight="true" outlineLevel="0" collapsed="false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customFormat="false" ht="15.75" hidden="false" customHeight="true" outlineLevel="0" collapsed="false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customFormat="false" ht="15.75" hidden="false" customHeight="true" outlineLevel="0" collapsed="false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customFormat="false" ht="15.75" hidden="false" customHeight="true" outlineLevel="0" collapsed="false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customFormat="false" ht="15.75" hidden="false" customHeight="true" outlineLevel="0" collapsed="false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customFormat="false" ht="15.75" hidden="false" customHeight="true" outlineLevel="0" collapsed="false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customFormat="false" ht="15.75" hidden="false" customHeight="true" outlineLevel="0" collapsed="false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customFormat="false" ht="15.75" hidden="false" customHeight="true" outlineLevel="0" collapsed="false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customFormat="false" ht="15.75" hidden="false" customHeight="true" outlineLevel="0" collapsed="false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customFormat="false" ht="15.75" hidden="false" customHeight="true" outlineLevel="0" collapsed="false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customFormat="false" ht="15.75" hidden="false" customHeight="true" outlineLevel="0" collapsed="false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customFormat="false" ht="15.75" hidden="false" customHeight="true" outlineLevel="0" collapsed="false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customFormat="false" ht="15.75" hidden="false" customHeight="true" outlineLevel="0" collapsed="false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customFormat="false" ht="15.75" hidden="false" customHeight="true" outlineLevel="0" collapsed="false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customFormat="false" ht="15.75" hidden="false" customHeight="true" outlineLevel="0" collapsed="false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customFormat="false" ht="15.75" hidden="false" customHeight="true" outlineLevel="0" collapsed="false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customFormat="false" ht="15.75" hidden="false" customHeight="true" outlineLevel="0" collapsed="false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customFormat="false" ht="15.75" hidden="false" customHeight="true" outlineLevel="0" collapsed="false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customFormat="false" ht="15.75" hidden="false" customHeight="true" outlineLevel="0" collapsed="false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customFormat="false" ht="15.75" hidden="false" customHeight="true" outlineLevel="0" collapsed="false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customFormat="false" ht="15.75" hidden="false" customHeight="true" outlineLevel="0" collapsed="false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customFormat="false" ht="15.75" hidden="false" customHeight="true" outlineLevel="0" collapsed="false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customFormat="false" ht="15.75" hidden="false" customHeight="true" outlineLevel="0" collapsed="false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customFormat="false" ht="15.75" hidden="false" customHeight="true" outlineLevel="0" collapsed="false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customFormat="false" ht="15.75" hidden="false" customHeight="true" outlineLevel="0" collapsed="false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customFormat="false" ht="15.75" hidden="false" customHeight="true" outlineLevel="0" collapsed="false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customFormat="false" ht="15.75" hidden="false" customHeight="true" outlineLevel="0" collapsed="false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customFormat="false" ht="15.75" hidden="false" customHeight="true" outlineLevel="0" collapsed="false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customFormat="false" ht="15.75" hidden="false" customHeight="true" outlineLevel="0" collapsed="false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customFormat="false" ht="15.75" hidden="false" customHeight="true" outlineLevel="0" collapsed="false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customFormat="false" ht="15.75" hidden="false" customHeight="true" outlineLevel="0" collapsed="false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customFormat="false" ht="15.75" hidden="false" customHeight="true" outlineLevel="0" collapsed="false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customFormat="false" ht="15.75" hidden="false" customHeight="true" outlineLevel="0" collapsed="false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customFormat="false" ht="15.75" hidden="false" customHeight="true" outlineLevel="0" collapsed="false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customFormat="false" ht="15.75" hidden="false" customHeight="true" outlineLevel="0" collapsed="false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customFormat="false" ht="15.75" hidden="false" customHeight="true" outlineLevel="0" collapsed="false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customFormat="false" ht="15.75" hidden="false" customHeight="true" outlineLevel="0" collapsed="false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customFormat="false" ht="15.75" hidden="false" customHeight="true" outlineLevel="0" collapsed="false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customFormat="false" ht="15.75" hidden="false" customHeight="true" outlineLevel="0" collapsed="false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customFormat="false" ht="15.75" hidden="false" customHeight="true" outlineLevel="0" collapsed="false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customFormat="false" ht="15.75" hidden="false" customHeight="true" outlineLevel="0" collapsed="false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customFormat="false" ht="15.75" hidden="false" customHeight="true" outlineLevel="0" collapsed="false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customFormat="false" ht="15.75" hidden="false" customHeight="true" outlineLevel="0" collapsed="false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customFormat="false" ht="15.75" hidden="false" customHeight="true" outlineLevel="0" collapsed="false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customFormat="false" ht="15.75" hidden="false" customHeight="true" outlineLevel="0" collapsed="false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customFormat="false" ht="15.75" hidden="false" customHeight="true" outlineLevel="0" collapsed="false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customFormat="false" ht="15.75" hidden="false" customHeight="true" outlineLevel="0" collapsed="false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customFormat="false" ht="15.75" hidden="false" customHeight="true" outlineLevel="0" collapsed="false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customFormat="false" ht="15.75" hidden="false" customHeight="true" outlineLevel="0" collapsed="false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customFormat="false" ht="15.75" hidden="false" customHeight="true" outlineLevel="0" collapsed="false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customFormat="false" ht="15.75" hidden="false" customHeight="true" outlineLevel="0" collapsed="false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customFormat="false" ht="15.75" hidden="false" customHeight="true" outlineLevel="0" collapsed="false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customFormat="false" ht="15.75" hidden="false" customHeight="true" outlineLevel="0" collapsed="false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customFormat="false" ht="15.75" hidden="false" customHeight="true" outlineLevel="0" collapsed="false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customFormat="false" ht="15.75" hidden="false" customHeight="true" outlineLevel="0" collapsed="false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customFormat="false" ht="15.75" hidden="false" customHeight="true" outlineLevel="0" collapsed="false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customFormat="false" ht="15.75" hidden="false" customHeight="true" outlineLevel="0" collapsed="false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customFormat="false" ht="15.75" hidden="false" customHeight="true" outlineLevel="0" collapsed="false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customFormat="false" ht="15.75" hidden="false" customHeight="true" outlineLevel="0" collapsed="false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customFormat="false" ht="15.75" hidden="false" customHeight="true" outlineLevel="0" collapsed="false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customFormat="false" ht="15.75" hidden="false" customHeight="true" outlineLevel="0" collapsed="false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customFormat="false" ht="15.75" hidden="false" customHeight="true" outlineLevel="0" collapsed="false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customFormat="false" ht="15.75" hidden="false" customHeight="true" outlineLevel="0" collapsed="false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customFormat="false" ht="15.75" hidden="false" customHeight="true" outlineLevel="0" collapsed="false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customFormat="false" ht="15.75" hidden="false" customHeight="true" outlineLevel="0" collapsed="false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customFormat="false" ht="15.75" hidden="false" customHeight="true" outlineLevel="0" collapsed="false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customFormat="false" ht="15.75" hidden="false" customHeight="true" outlineLevel="0" collapsed="false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customFormat="false" ht="15.75" hidden="false" customHeight="true" outlineLevel="0" collapsed="false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customFormat="false" ht="15.75" hidden="false" customHeight="true" outlineLevel="0" collapsed="false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customFormat="false" ht="15.75" hidden="false" customHeight="true" outlineLevel="0" collapsed="false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customFormat="false" ht="15.75" hidden="false" customHeight="true" outlineLevel="0" collapsed="false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customFormat="false" ht="15.75" hidden="false" customHeight="true" outlineLevel="0" collapsed="false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customFormat="false" ht="15.75" hidden="false" customHeight="true" outlineLevel="0" collapsed="false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customFormat="false" ht="15.75" hidden="false" customHeight="true" outlineLevel="0" collapsed="false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customFormat="false" ht="15.75" hidden="false" customHeight="true" outlineLevel="0" collapsed="false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customFormat="false" ht="15.75" hidden="false" customHeight="true" outlineLevel="0" collapsed="false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customFormat="false" ht="15.75" hidden="false" customHeight="true" outlineLevel="0" collapsed="false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customFormat="false" ht="15.75" hidden="false" customHeight="true" outlineLevel="0" collapsed="false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customFormat="false" ht="15.75" hidden="false" customHeight="true" outlineLevel="0" collapsed="false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customFormat="false" ht="15.75" hidden="false" customHeight="true" outlineLevel="0" collapsed="false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customFormat="false" ht="15.75" hidden="false" customHeight="true" outlineLevel="0" collapsed="false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customFormat="false" ht="15.75" hidden="false" customHeight="true" outlineLevel="0" collapsed="false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customFormat="false" ht="15.75" hidden="false" customHeight="true" outlineLevel="0" collapsed="false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customFormat="false" ht="15.75" hidden="false" customHeight="true" outlineLevel="0" collapsed="false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customFormat="false" ht="15.75" hidden="false" customHeight="true" outlineLevel="0" collapsed="false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customFormat="false" ht="15.75" hidden="false" customHeight="true" outlineLevel="0" collapsed="false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customFormat="false" ht="15.75" hidden="false" customHeight="true" outlineLevel="0" collapsed="false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customFormat="false" ht="15.75" hidden="false" customHeight="true" outlineLevel="0" collapsed="false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customFormat="false" ht="15.75" hidden="false" customHeight="true" outlineLevel="0" collapsed="false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customFormat="false" ht="15.75" hidden="false" customHeight="true" outlineLevel="0" collapsed="false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customFormat="false" ht="15.75" hidden="false" customHeight="true" outlineLevel="0" collapsed="false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customFormat="false" ht="15.75" hidden="false" customHeight="true" outlineLevel="0" collapsed="false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customFormat="false" ht="15.75" hidden="false" customHeight="true" outlineLevel="0" collapsed="false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customFormat="false" ht="15.75" hidden="false" customHeight="true" outlineLevel="0" collapsed="false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customFormat="false" ht="15.75" hidden="false" customHeight="true" outlineLevel="0" collapsed="false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customFormat="false" ht="15.75" hidden="false" customHeight="true" outlineLevel="0" collapsed="false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customFormat="false" ht="15.75" hidden="false" customHeight="true" outlineLevel="0" collapsed="false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customFormat="false" ht="15.75" hidden="false" customHeight="true" outlineLevel="0" collapsed="false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customFormat="false" ht="15.75" hidden="false" customHeight="true" outlineLevel="0" collapsed="false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customFormat="false" ht="15.75" hidden="false" customHeight="true" outlineLevel="0" collapsed="false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customFormat="false" ht="15.75" hidden="false" customHeight="true" outlineLevel="0" collapsed="false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customFormat="false" ht="15.75" hidden="false" customHeight="true" outlineLevel="0" collapsed="false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customFormat="false" ht="15.75" hidden="false" customHeight="true" outlineLevel="0" collapsed="false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customFormat="false" ht="15.75" hidden="false" customHeight="true" outlineLevel="0" collapsed="false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customFormat="false" ht="15.75" hidden="false" customHeight="true" outlineLevel="0" collapsed="false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customFormat="false" ht="15.75" hidden="false" customHeight="true" outlineLevel="0" collapsed="false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customFormat="false" ht="15.75" hidden="false" customHeight="true" outlineLevel="0" collapsed="false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customFormat="false" ht="15.75" hidden="false" customHeight="true" outlineLevel="0" collapsed="false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customFormat="false" ht="15.75" hidden="false" customHeight="true" outlineLevel="0" collapsed="false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customFormat="false" ht="15.75" hidden="false" customHeight="true" outlineLevel="0" collapsed="false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customFormat="false" ht="15.75" hidden="false" customHeight="true" outlineLevel="0" collapsed="false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customFormat="false" ht="15.75" hidden="false" customHeight="true" outlineLevel="0" collapsed="false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customFormat="false" ht="15.75" hidden="false" customHeight="true" outlineLevel="0" collapsed="false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customFormat="false" ht="15.75" hidden="false" customHeight="true" outlineLevel="0" collapsed="false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customFormat="false" ht="15.75" hidden="false" customHeight="true" outlineLevel="0" collapsed="false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customFormat="false" ht="15.75" hidden="false" customHeight="true" outlineLevel="0" collapsed="false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customFormat="false" ht="15.75" hidden="false" customHeight="true" outlineLevel="0" collapsed="false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customFormat="false" ht="15.75" hidden="false" customHeight="true" outlineLevel="0" collapsed="false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customFormat="false" ht="15.75" hidden="false" customHeight="true" outlineLevel="0" collapsed="false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customFormat="false" ht="15.75" hidden="false" customHeight="true" outlineLevel="0" collapsed="false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customFormat="false" ht="15.75" hidden="false" customHeight="true" outlineLevel="0" collapsed="false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customFormat="false" ht="15.75" hidden="false" customHeight="true" outlineLevel="0" collapsed="false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customFormat="false" ht="15.75" hidden="false" customHeight="true" outlineLevel="0" collapsed="false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customFormat="false" ht="15.75" hidden="false" customHeight="true" outlineLevel="0" collapsed="false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customFormat="false" ht="15.75" hidden="false" customHeight="true" outlineLevel="0" collapsed="false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customFormat="false" ht="15.75" hidden="false" customHeight="true" outlineLevel="0" collapsed="false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customFormat="false" ht="15.75" hidden="false" customHeight="true" outlineLevel="0" collapsed="false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customFormat="false" ht="15.75" hidden="false" customHeight="true" outlineLevel="0" collapsed="false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customFormat="false" ht="15.75" hidden="false" customHeight="true" outlineLevel="0" collapsed="false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customFormat="false" ht="15.75" hidden="false" customHeight="true" outlineLevel="0" collapsed="false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customFormat="false" ht="15.75" hidden="false" customHeight="true" outlineLevel="0" collapsed="false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customFormat="false" ht="15.75" hidden="false" customHeight="true" outlineLevel="0" collapsed="false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customFormat="false" ht="15.75" hidden="false" customHeight="true" outlineLevel="0" collapsed="false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customFormat="false" ht="15.75" hidden="false" customHeight="true" outlineLevel="0" collapsed="false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customFormat="false" ht="15.75" hidden="false" customHeight="true" outlineLevel="0" collapsed="false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customFormat="false" ht="15.75" hidden="false" customHeight="true" outlineLevel="0" collapsed="false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customFormat="false" ht="15.75" hidden="false" customHeight="true" outlineLevel="0" collapsed="false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customFormat="false" ht="15.75" hidden="false" customHeight="true" outlineLevel="0" collapsed="false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customFormat="false" ht="15.75" hidden="false" customHeight="true" outlineLevel="0" collapsed="false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customFormat="false" ht="15.75" hidden="false" customHeight="true" outlineLevel="0" collapsed="false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customFormat="false" ht="15.75" hidden="false" customHeight="true" outlineLevel="0" collapsed="false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customFormat="false" ht="15.75" hidden="false" customHeight="true" outlineLevel="0" collapsed="false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customFormat="false" ht="15.75" hidden="false" customHeight="true" outlineLevel="0" collapsed="false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customFormat="false" ht="15.75" hidden="false" customHeight="true" outlineLevel="0" collapsed="false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customFormat="false" ht="15.75" hidden="false" customHeight="true" outlineLevel="0" collapsed="false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customFormat="false" ht="15.75" hidden="false" customHeight="true" outlineLevel="0" collapsed="false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customFormat="false" ht="15.75" hidden="false" customHeight="true" outlineLevel="0" collapsed="false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customFormat="false" ht="15.75" hidden="false" customHeight="true" outlineLevel="0" collapsed="false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customFormat="false" ht="15.75" hidden="false" customHeight="true" outlineLevel="0" collapsed="false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customFormat="false" ht="15.75" hidden="false" customHeight="true" outlineLevel="0" collapsed="false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customFormat="false" ht="15.75" hidden="false" customHeight="true" outlineLevel="0" collapsed="false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customFormat="false" ht="15.75" hidden="false" customHeight="true" outlineLevel="0" collapsed="false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customFormat="false" ht="15.75" hidden="false" customHeight="true" outlineLevel="0" collapsed="false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customFormat="false" ht="15.75" hidden="false" customHeight="true" outlineLevel="0" collapsed="false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customFormat="false" ht="15.75" hidden="false" customHeight="true" outlineLevel="0" collapsed="false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customFormat="false" ht="15.75" hidden="false" customHeight="true" outlineLevel="0" collapsed="false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customFormat="false" ht="15.75" hidden="false" customHeight="true" outlineLevel="0" collapsed="false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customFormat="false" ht="15.75" hidden="false" customHeight="true" outlineLevel="0" collapsed="false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customFormat="false" ht="15.75" hidden="false" customHeight="true" outlineLevel="0" collapsed="false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customFormat="false" ht="15.75" hidden="false" customHeight="true" outlineLevel="0" collapsed="false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customFormat="false" ht="15.75" hidden="false" customHeight="true" outlineLevel="0" collapsed="false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customFormat="false" ht="15.75" hidden="false" customHeight="true" outlineLevel="0" collapsed="false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customFormat="false" ht="15.75" hidden="false" customHeight="true" outlineLevel="0" collapsed="false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customFormat="false" ht="15.75" hidden="false" customHeight="true" outlineLevel="0" collapsed="false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customFormat="false" ht="15.75" hidden="false" customHeight="true" outlineLevel="0" collapsed="false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customFormat="false" ht="15.75" hidden="false" customHeight="true" outlineLevel="0" collapsed="false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customFormat="false" ht="15.75" hidden="false" customHeight="true" outlineLevel="0" collapsed="false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customFormat="false" ht="15.75" hidden="false" customHeight="true" outlineLevel="0" collapsed="false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customFormat="false" ht="15.75" hidden="false" customHeight="true" outlineLevel="0" collapsed="false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customFormat="false" ht="15.75" hidden="false" customHeight="true" outlineLevel="0" collapsed="false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customFormat="false" ht="15.75" hidden="false" customHeight="true" outlineLevel="0" collapsed="false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customFormat="false" ht="15.75" hidden="false" customHeight="true" outlineLevel="0" collapsed="false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customFormat="false" ht="15.75" hidden="false" customHeight="true" outlineLevel="0" collapsed="false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customFormat="false" ht="15.75" hidden="false" customHeight="true" outlineLevel="0" collapsed="false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customFormat="false" ht="15.75" hidden="false" customHeight="true" outlineLevel="0" collapsed="false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customFormat="false" ht="15.75" hidden="false" customHeight="true" outlineLevel="0" collapsed="false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customFormat="false" ht="15.75" hidden="false" customHeight="true" outlineLevel="0" collapsed="false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customFormat="false" ht="15.75" hidden="false" customHeight="true" outlineLevel="0" collapsed="false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customFormat="false" ht="15.75" hidden="false" customHeight="true" outlineLevel="0" collapsed="false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customFormat="false" ht="15.75" hidden="false" customHeight="true" outlineLevel="0" collapsed="false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customFormat="false" ht="15.75" hidden="false" customHeight="true" outlineLevel="0" collapsed="false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autoFilter ref="G1:K37"/>
  <mergeCells count="6">
    <mergeCell ref="B1:F1"/>
    <mergeCell ref="L1:N1"/>
    <mergeCell ref="D2:F2"/>
    <mergeCell ref="L2:L3"/>
    <mergeCell ref="M2:M3"/>
    <mergeCell ref="N2:N3"/>
  </mergeCells>
  <dataValidations count="5">
    <dataValidation allowBlank="true" errorStyle="stop" operator="between" prompt="You must use the association abbreviations as listed in the Instructions." showDropDown="false" showErrorMessage="true" showInputMessage="true" sqref="G4:G26 G37" type="list">
      <formula1>Instructions!$A$55:$A$56</formula1>
      <formula2>0</formula2>
    </dataValidation>
    <dataValidation allowBlank="true" errorStyle="stop" operator="between" prompt="You must use the game types as listed in the Instructions." showDropDown="false" showErrorMessage="true" showInputMessage="true" sqref="H4:H26 H37" type="list">
      <formula1>Instructions!$A$60:$A$64</formula1>
      <formula2>0</formula2>
    </dataValidation>
    <dataValidation allowBlank="true" errorStyle="stop" operator="between" prompt="Enter Y if you used association-endorsed software. Otherwise leave this cell blank." showDropDown="false" showErrorMessage="true" showInputMessage="true" sqref="K4:K26 K37" type="list">
      <formula1>Instructions!$K$45</formula1>
      <formula2>0</formula2>
    </dataValidation>
    <dataValidation allowBlank="true" errorStyle="stop" operator="between" prompt="You must use the positional abbreviations as listed in the Instructions." showDropDown="false" showErrorMessage="true" showInputMessage="true" sqref="J4:J26 J37" type="list">
      <formula1>Instructions!$A$74:$A$86</formula1>
      <formula2>0</formula2>
    </dataValidation>
    <dataValidation allowBlank="true" errorStyle="stop" operator="between" prompt="You must use the positional abbreviations as listed in the Instructions." showDropDown="false" showErrorMessage="true" showInputMessage="true" sqref="I4:I26 I37" type="list">
      <formula1>Instructions!$A$67:$A$88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6.25"/>
    <col collapsed="false" customWidth="true" hidden="false" outlineLevel="0" max="3" min="3" style="0" width="4.88"/>
    <col collapsed="false" customWidth="true" hidden="false" outlineLevel="0" max="4" min="4" style="0" width="4.38"/>
    <col collapsed="false" customWidth="true" hidden="false" outlineLevel="0" max="5" min="5" style="0" width="4.63"/>
    <col collapsed="false" customWidth="true" hidden="false" outlineLevel="0" max="6" min="6" style="0" width="7.5"/>
    <col collapsed="false" customWidth="true" hidden="false" outlineLevel="0" max="7" min="7" style="0" width="6.51"/>
    <col collapsed="false" customWidth="true" hidden="false" outlineLevel="0" max="8" min="8" style="0" width="10.88"/>
    <col collapsed="false" customWidth="true" hidden="false" outlineLevel="0" max="9" min="9" style="0" width="6.38"/>
    <col collapsed="false" customWidth="true" hidden="false" outlineLevel="0" max="10" min="10" style="0" width="4.88"/>
    <col collapsed="false" customWidth="true" hidden="false" outlineLevel="0" max="11" min="11" style="0" width="4.38"/>
    <col collapsed="false" customWidth="true" hidden="false" outlineLevel="0" max="12" min="12" style="0" width="5.13"/>
    <col collapsed="false" customWidth="true" hidden="false" outlineLevel="0" max="13" min="13" style="0" width="7.38"/>
    <col collapsed="false" customWidth="true" hidden="false" outlineLevel="0" max="14" min="14" style="0" width="4.75"/>
    <col collapsed="false" customWidth="true" hidden="false" outlineLevel="0" max="15" min="15" style="0" width="7.5"/>
    <col collapsed="false" customWidth="true" hidden="false" outlineLevel="0" max="16" min="16" style="0" width="9.38"/>
    <col collapsed="false" customWidth="true" hidden="false" outlineLevel="0" max="17" min="17" style="0" width="5.38"/>
    <col collapsed="false" customWidth="true" hidden="false" outlineLevel="0" max="18" min="18" style="0" width="10"/>
    <col collapsed="false" customWidth="true" hidden="false" outlineLevel="0" max="26" min="21" style="0" width="11.5"/>
  </cols>
  <sheetData>
    <row r="1" customFormat="false" ht="15.75" hidden="false" customHeight="true" outlineLevel="0" collapsed="false">
      <c r="A1" s="125" t="s">
        <v>299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6"/>
      <c r="O1" s="126"/>
      <c r="P1" s="126"/>
      <c r="Q1" s="126"/>
      <c r="R1" s="126"/>
      <c r="S1" s="126"/>
      <c r="T1" s="126"/>
    </row>
    <row r="2" customFormat="false" ht="15.75" hidden="false" customHeight="true" outlineLevel="0" collapsed="false">
      <c r="A2" s="127" t="s">
        <v>300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6"/>
      <c r="O2" s="126"/>
      <c r="P2" s="126"/>
      <c r="Q2" s="126"/>
      <c r="R2" s="126"/>
      <c r="S2" s="126"/>
      <c r="T2" s="126"/>
    </row>
    <row r="3" customFormat="false" ht="15.75" hidden="false" customHeight="true" outlineLevel="0" collapsed="false">
      <c r="A3" s="128"/>
      <c r="B3" s="128"/>
      <c r="C3" s="128"/>
      <c r="D3" s="128"/>
      <c r="E3" s="128"/>
      <c r="F3" s="129"/>
      <c r="G3" s="129"/>
      <c r="H3" s="128"/>
      <c r="I3" s="128"/>
      <c r="J3" s="128"/>
      <c r="K3" s="128"/>
      <c r="L3" s="128"/>
      <c r="M3" s="129"/>
      <c r="N3" s="126"/>
      <c r="O3" s="126"/>
      <c r="P3" s="126"/>
      <c r="Q3" s="126"/>
      <c r="R3" s="126"/>
      <c r="S3" s="126"/>
      <c r="T3" s="126"/>
    </row>
    <row r="4" customFormat="false" ht="15.75" hidden="false" customHeight="true" outlineLevel="0" collapsed="false">
      <c r="A4" s="130" t="s">
        <v>301</v>
      </c>
      <c r="B4" s="73" t="s">
        <v>20</v>
      </c>
      <c r="C4" s="73" t="s">
        <v>21</v>
      </c>
      <c r="D4" s="73" t="s">
        <v>22</v>
      </c>
      <c r="E4" s="73" t="s">
        <v>302</v>
      </c>
      <c r="F4" s="126"/>
      <c r="G4" s="131"/>
      <c r="H4" s="132" t="s">
        <v>303</v>
      </c>
      <c r="I4" s="133" t="s">
        <v>20</v>
      </c>
      <c r="J4" s="133" t="s">
        <v>21</v>
      </c>
      <c r="K4" s="133" t="s">
        <v>22</v>
      </c>
      <c r="L4" s="134" t="s">
        <v>302</v>
      </c>
      <c r="M4" s="10"/>
      <c r="N4" s="126"/>
      <c r="O4" s="126"/>
      <c r="P4" s="126"/>
      <c r="Q4" s="126"/>
      <c r="R4" s="126"/>
      <c r="S4" s="126"/>
      <c r="T4" s="126"/>
    </row>
    <row r="5" customFormat="false" ht="15.75" hidden="false" customHeight="true" outlineLevel="0" collapsed="false">
      <c r="A5" s="84" t="s">
        <v>51</v>
      </c>
      <c r="B5" s="135" t="n">
        <f aca="true">COUNTIFS('Game History'!A:A,("&gt;"&amp;(TODAY()-365)),'Game History'!G:G,"WFTDA",'Game History'!H:H,"Champs",'Game History'!I:I,Instructions!A68)+COUNTIFS('Game History'!A:A,("&gt;"&amp;(TODAY()-365)),'Game History'!G:G,"WFTDA",'Game History'!H:H,"Playoff",'Game History'!I:I,Instructions!A68)</f>
        <v>0</v>
      </c>
      <c r="C5" s="135" t="n">
        <f aca="true">COUNTIFS('Game History'!A:A,("&gt;"&amp;(TODAY()-365)),'Game History'!G:G,"WFTDA",'Game History'!H:H,"Sanc",'Game History'!I:I,Instructions!A68)</f>
        <v>0</v>
      </c>
      <c r="D5" s="135" t="n">
        <f aca="true">COUNTIFS('Game History'!A:A,("&gt;"&amp;(TODAY()-365)),'Game History'!G:G,"WFTDA",'Game History'!H:H,"Reg",'Game History'!I:I,Instructions!A68)</f>
        <v>0</v>
      </c>
      <c r="E5" s="136" t="n">
        <f aca="false">SUM(B5,C5,D5)</f>
        <v>0</v>
      </c>
      <c r="F5" s="126"/>
      <c r="G5" s="131"/>
      <c r="H5" s="137" t="s">
        <v>51</v>
      </c>
      <c r="I5" s="135" t="n">
        <f aca="true">COUNTIFS('Game History'!A:A,("&gt;"&amp;(TODAY()-548)),'Game History'!G:G,"WFTDA",'Game History'!H:H,"Champs",'Game History'!I:I,Instructions!A68)+COUNTIFS('Game History'!A:A,("&gt;"&amp;(TODAY()-548)),'Game History'!G:G,"WFTDA",'Game History'!H:H,"Playoff",'Game History'!I:I,Instructions!A68)</f>
        <v>0</v>
      </c>
      <c r="J5" s="135" t="n">
        <f aca="true">COUNTIFS('Game History'!A:A,("&gt;"&amp;(TODAY()-548)),'Game History'!G:G,"WFTDA",'Game History'!H:H,"Sanc",'Game History'!I:I,Instructions!A68)</f>
        <v>0</v>
      </c>
      <c r="K5" s="135" t="n">
        <f aca="true">COUNTIFS('Game History'!A:A,("&gt;"&amp;(TODAY()-548)),'Game History'!G:G,"WFTDA",'Game History'!H:H,"Reg",'Game History'!I:I,Instructions!A68)</f>
        <v>0</v>
      </c>
      <c r="L5" s="136" t="n">
        <f aca="false">SUM(I5,J5,K5)</f>
        <v>0</v>
      </c>
      <c r="M5" s="126"/>
      <c r="N5" s="126"/>
      <c r="O5" s="126"/>
      <c r="P5" s="126"/>
      <c r="Q5" s="126"/>
      <c r="R5" s="126"/>
      <c r="S5" s="126"/>
      <c r="T5" s="126"/>
    </row>
    <row r="6" customFormat="false" ht="15.75" hidden="false" customHeight="true" outlineLevel="0" collapsed="false">
      <c r="A6" s="84" t="s">
        <v>55</v>
      </c>
      <c r="B6" s="135" t="n">
        <f aca="true">COUNTIFS('Game History'!A:A,("&gt;"&amp;(TODAY()-365)),'Game History'!G:G,"WFTDA",'Game History'!H:H,"Champs",'Game History'!I:I,Instructions!A69)+COUNTIFS('Game History'!A:A,("&gt;"&amp;(TODAY()-365)),'Game History'!G:G,"WFTDA",'Game History'!H:H,"Playoff",'Game History'!I:I,Instructions!A69)+COUNTIFS('Game History'!A:A,("&gt;"&amp;(TODAY()-365)),'Game History'!G:G,"WFTDA",'Game History'!H:H,"Champs",'Game History'!I:I,Instructions!A70)+COUNTIFS('Game History'!A:A,("&gt;"&amp;(TODAY()-365)),'Game History'!G:G,"WFTDA",'Game History'!H:H,"Playoff",'Game History'!I:I,Instructions!A70)</f>
        <v>0</v>
      </c>
      <c r="C6" s="135" t="n">
        <f aca="true">COUNTIFS('Game History'!A:A,("&gt;"&amp;(TODAY()-365)),'Game History'!G:G,"WFTDA",'Game History'!H:H,"Sanc",'Game History'!I:I,Instructions!A69)</f>
        <v>0</v>
      </c>
      <c r="D6" s="135" t="n">
        <f aca="true">COUNTIFS('Game History'!A:A,("&gt;"&amp;(TODAY()-365)),'Game History'!G:G,"WFTDA",'Game History'!H:H,"Reg",'Game History'!I:I,Instructions!A69)</f>
        <v>0</v>
      </c>
      <c r="E6" s="136" t="n">
        <f aca="false">SUM(B6,C6,D6)</f>
        <v>0</v>
      </c>
      <c r="F6" s="126"/>
      <c r="G6" s="131"/>
      <c r="H6" s="137" t="s">
        <v>55</v>
      </c>
      <c r="I6" s="135" t="n">
        <f aca="true">COUNTIFS('Game History'!A:A,("&gt;"&amp;(TODAY()-548)),'Game History'!G:G,"WFTDA",'Game History'!H:H,"Champs",'Game History'!I:I,Instructions!A69)+COUNTIFS('Game History'!A:A,("&gt;"&amp;(TODAY()-548)),'Game History'!G:G,"WFTDA",'Game History'!H:H,"Playoff",'Game History'!I:I,Instructions!A69)+COUNTIFS('Game History'!A:A,("&gt;"&amp;(TODAY()-548)),'Game History'!G:G,"WFTDA",'Game History'!H:H,"Champs",'Game History'!I:I,Instructions!A70)+COUNTIFS('Game History'!A:A,("&gt;"&amp;(TODAY()-548)),'Game History'!G:G,"WFTDA",'Game History'!H:H,"Playoff",'Game History'!I:I,Instructions!A70)</f>
        <v>0</v>
      </c>
      <c r="J6" s="135" t="n">
        <f aca="true">COUNTIFS('Game History'!A:A,("&gt;"&amp;(TODAY()-548)),'Game History'!G:G,"WFTDA",'Game History'!H:H,"Sanc",'Game History'!I:I,Instructions!A69)</f>
        <v>0</v>
      </c>
      <c r="K6" s="135" t="n">
        <f aca="true">COUNTIFS('Game History'!A:A,("&gt;"&amp;(TODAY()-548)),'Game History'!G:G,"WFTDA",'Game History'!H:H,"Reg",'Game History'!I:I,Instructions!A69)</f>
        <v>0</v>
      </c>
      <c r="L6" s="136" t="n">
        <f aca="false">SUM(I6,J6,K6)</f>
        <v>0</v>
      </c>
      <c r="M6" s="126"/>
      <c r="N6" s="126"/>
      <c r="O6" s="126"/>
      <c r="P6" s="126"/>
      <c r="Q6" s="126"/>
      <c r="R6" s="126"/>
      <c r="S6" s="126"/>
      <c r="T6" s="126"/>
    </row>
    <row r="7" customFormat="false" ht="15.75" hidden="false" customHeight="true" outlineLevel="0" collapsed="false">
      <c r="A7" s="84" t="s">
        <v>25</v>
      </c>
      <c r="B7" s="71" t="s">
        <v>26</v>
      </c>
      <c r="C7" s="135" t="n">
        <f aca="true">COUNTIFS('Game History'!A:A,("&gt;"&amp;(TODAY()-365)),'Game History'!G:G,"WFTDA",'Game History'!H:H,"Sanc",'Game History'!I:I,Instructions!A70)</f>
        <v>0</v>
      </c>
      <c r="D7" s="135" t="n">
        <f aca="true">COUNTIFS('Game History'!A:A,("&gt;"&amp;(TODAY()-365)),'Game History'!G:G,"WFTDA",'Game History'!H:H,"Reg",'Game History'!I:I,Instructions!A70)</f>
        <v>0</v>
      </c>
      <c r="E7" s="136" t="n">
        <f aca="false">SUM(C7+D7)</f>
        <v>0</v>
      </c>
      <c r="F7" s="126"/>
      <c r="G7" s="131"/>
      <c r="H7" s="137" t="s">
        <v>25</v>
      </c>
      <c r="I7" s="71" t="s">
        <v>26</v>
      </c>
      <c r="J7" s="135" t="n">
        <f aca="true">COUNTIFS('Game History'!A:A,("&gt;"&amp;(TODAY()-548)),'Game History'!G:G,"WFTDA",'Game History'!H:H,"Sanc",'Game History'!I:I,Instructions!A70)</f>
        <v>0</v>
      </c>
      <c r="K7" s="135" t="n">
        <f aca="true">COUNTIFS('Game History'!A:A,("&gt;"&amp;(TODAY()-548)),'Game History'!G:G,"WFTDA",'Game History'!H:H,"Reg",'Game History'!I:I,Instructions!A70)</f>
        <v>0</v>
      </c>
      <c r="L7" s="136" t="n">
        <f aca="false">SUM(J7+K7)</f>
        <v>0</v>
      </c>
      <c r="M7" s="126"/>
      <c r="N7" s="126"/>
      <c r="O7" s="126"/>
      <c r="P7" s="126"/>
      <c r="Q7" s="126"/>
      <c r="R7" s="126"/>
      <c r="S7" s="126"/>
      <c r="T7" s="126"/>
    </row>
    <row r="8" customFormat="false" ht="15.75" hidden="false" customHeight="true" outlineLevel="0" collapsed="false">
      <c r="A8" s="84" t="s">
        <v>30</v>
      </c>
      <c r="B8" s="135" t="n">
        <f aca="true">COUNTIFS('Game History'!A:A,("&gt;"&amp;(TODAY()-365)),'Game History'!G:G,"WFTDA",'Game History'!H:H,"Champs",'Game History'!I:I,Instructions!A74)+COUNTIFS('Game History'!A:A,("&gt;"&amp;(TODAY()-365)),'Game History'!G:G,"WFTDA",'Game History'!H:H,"Playoff",'Game History'!I:I,Instructions!A74)+COUNTIFS('Game History'!A:A,("&gt;"&amp;(TODAY()-365)),'Game History'!G:G,"WFTDA",'Game History'!H:H,"Champs",'Game History'!J:J,Instructions!A74)+COUNTIFS('Game History'!A:A,("&gt;"&amp;(TODAY()-365)),'Game History'!G:G,"WFTDA",'Game History'!H:H,"Playoff",'Game History'!J:J,Instructions!A74)</f>
        <v>0</v>
      </c>
      <c r="C8" s="135" t="n">
        <f aca="true">COUNTIFS('Game History'!A:A,("&gt;"&amp;(TODAY()-365)),'Game History'!G:G,"WFTDA",'Game History'!H:H,"Sanc",'Game History'!I:I,Instructions!A74)+COUNTIFS('Game History'!A:A,("&gt;"&amp;(TODAY()-365)),'Game History'!G:G,"WFTDA",'Game History'!H:H,"Sanc",'Game History'!J:J,Instructions!A74)</f>
        <v>0</v>
      </c>
      <c r="D8" s="135" t="n">
        <f aca="true">COUNTIFS('Game History'!A:A,("&gt;"&amp;(TODAY()-365)),'Game History'!G:G,"WFTDA",'Game History'!H:H,"Reg",'Game History'!I:I,Instructions!A74)+COUNTIFS('Game History'!A:A,("&gt;"&amp;(TODAY()-365)),'Game History'!G:G,"WFTDA",'Game History'!H:H,"Reg",'Game History'!J:J,Instructions!A74)</f>
        <v>0</v>
      </c>
      <c r="E8" s="136" t="n">
        <f aca="false">SUM(B8,C8,D8)</f>
        <v>0</v>
      </c>
      <c r="F8" s="11"/>
      <c r="G8" s="131"/>
      <c r="H8" s="137" t="s">
        <v>30</v>
      </c>
      <c r="I8" s="135" t="n">
        <f aca="true">COUNTIFS('Game History'!A:A,("&gt;"&amp;(TODAY()-548)),'Game History'!G:G,"WFTDA",'Game History'!H:H,"Champs",'Game History'!I:I,Instructions!A74)+COUNTIFS('Game History'!A:A,("&gt;"&amp;(TODAY()-548)),'Game History'!G:G,"WFTDA",'Game History'!H:H,"Playoff",'Game History'!I:I,Instructions!A74)+COUNTIFS('Game History'!A:A,("&gt;"&amp;(TODAY()-548)),'Game History'!G:G,"WFTDA",'Game History'!H:H,"Champs",'Game History'!J:J,Instructions!A74)+COUNTIFS('Game History'!A:A,("&gt;"&amp;(TODAY()-548)),'Game History'!G:G,"WFTDA",'Game History'!H:H,"Playoff",'Game History'!J:J,Instructions!A74)</f>
        <v>0</v>
      </c>
      <c r="J8" s="135" t="n">
        <f aca="true">COUNTIFS('Game History'!A:A,("&gt;"&amp;(TODAY()-548)),'Game History'!G:G,"WFTDA",'Game History'!H:H,"Sanc",'Game History'!I:I,Instructions!A74)+COUNTIFS('Game History'!A:A,("&gt;"&amp;(TODAY()-548)),'Game History'!G:G,"WFTDA",'Game History'!H:H,"Sanc",'Game History'!J:J,Instructions!A74)</f>
        <v>0</v>
      </c>
      <c r="K8" s="135" t="n">
        <f aca="true">COUNTIFS('Game History'!A:A,("&gt;"&amp;(TODAY()-548)),'Game History'!G:G,"WFTDA",'Game History'!H:H,"Reg",'Game History'!I:I,Instructions!A74)+COUNTIFS('Game History'!A:A,("&gt;"&amp;(TODAY()-548)),'Game History'!G:G,"WFTDA",'Game History'!H:H,"Reg",'Game History'!J:J,Instructions!A74)</f>
        <v>0</v>
      </c>
      <c r="L8" s="136" t="n">
        <f aca="false">SUM(I8,J8,K8)</f>
        <v>0</v>
      </c>
      <c r="M8" s="11"/>
      <c r="N8" s="126"/>
      <c r="O8" s="126"/>
      <c r="P8" s="126"/>
      <c r="Q8" s="126"/>
      <c r="R8" s="126"/>
      <c r="S8" s="126"/>
      <c r="T8" s="126"/>
    </row>
    <row r="9" customFormat="false" ht="15.75" hidden="false" customHeight="true" outlineLevel="0" collapsed="false">
      <c r="A9" s="84" t="s">
        <v>34</v>
      </c>
      <c r="B9" s="135" t="n">
        <f aca="true">COUNTIFS('Game History'!A:A,("&gt;"&amp;(TODAY()-365)),'Game History'!G:G,"WFTDA",'Game History'!H:H,"Champs",'Game History'!I:I,Instructions!A75)+COUNTIFS('Game History'!A:A,("&gt;"&amp;(TODAY()-365)),'Game History'!G:G,"WFTDA",'Game History'!H:H,"Playoff",'Game History'!I:I,Instructions!A75)+COUNTIFS('Game History'!A:A,("&gt;"&amp;(TODAY()-365)),'Game History'!G:G,"WFTDA",'Game History'!H:H,"Champs",'Game History'!J:J,Instructions!A75)+COUNTIFS('Game History'!A:A,("&gt;"&amp;(TODAY()-365)),'Game History'!G:G,"WFTDA",'Game History'!H:H,"Playoff",'Game History'!J:J,Instructions!A75)</f>
        <v>0</v>
      </c>
      <c r="C9" s="135" t="n">
        <f aca="true">COUNTIFS('Game History'!A:A,("&gt;"&amp;(TODAY()-365)),'Game History'!G:G,"WFTDA",'Game History'!H:H,"Sanc",'Game History'!I:I,Instructions!A75)+COUNTIFS('Game History'!A:A,("&gt;"&amp;(TODAY()-365)),'Game History'!G:G,"WFTDA",'Game History'!H:H,"Sanc",'Game History'!J:J,Instructions!A75)</f>
        <v>0</v>
      </c>
      <c r="D9" s="135" t="n">
        <f aca="true">COUNTIFS('Game History'!A:A,("&gt;"&amp;(TODAY()-365)),'Game History'!G:G,"WFTDA",'Game History'!H:H,"Reg",'Game History'!I:I,Instructions!A75)+COUNTIFS('Game History'!A:A,("&gt;"&amp;(TODAY()-365)),'Game History'!G:G,"WFTDA",'Game History'!H:H,"Reg",'Game History'!J:J,Instructions!A75)</f>
        <v>0</v>
      </c>
      <c r="E9" s="136" t="n">
        <f aca="false">SUM(B9,C9,D9)</f>
        <v>0</v>
      </c>
      <c r="F9" s="11"/>
      <c r="G9" s="131"/>
      <c r="H9" s="137" t="s">
        <v>34</v>
      </c>
      <c r="I9" s="135" t="n">
        <f aca="true">COUNTIFS('Game History'!A:A,("&gt;"&amp;(TODAY()-548)),'Game History'!G:G,"WFTDA",'Game History'!H:H,"Champs",'Game History'!I:I,Instructions!A75)+COUNTIFS('Game History'!A:A,("&gt;"&amp;(TODAY()-548)),'Game History'!G:G,"WFTDA",'Game History'!H:H,"Playoff",'Game History'!I:I,Instructions!A75)+COUNTIFS('Game History'!A:A,("&gt;"&amp;(TODAY()-548)),'Game History'!G:G,"WFTDA",'Game History'!H:H,"Champs",'Game History'!J:J,Instructions!A75)+COUNTIFS('Game History'!A:A,("&gt;"&amp;(TODAY()-548)),'Game History'!G:G,"WFTDA",'Game History'!H:H,"Playoff",'Game History'!J:J,Instructions!A75)</f>
        <v>0</v>
      </c>
      <c r="J9" s="135" t="n">
        <f aca="true">COUNTIFS('Game History'!A:A,("&gt;"&amp;(TODAY()-548)),'Game History'!G:G,"WFTDA",'Game History'!H:H,"Sanc",'Game History'!I:I,Instructions!A75)+COUNTIFS('Game History'!A:A,("&gt;"&amp;(TODAY()-548)),'Game History'!G:G,"WFTDA",'Game History'!H:H,"Sanc",'Game History'!J:J,Instructions!A75)</f>
        <v>0</v>
      </c>
      <c r="K9" s="135" t="n">
        <f aca="true">COUNTIFS('Game History'!A:A,("&gt;"&amp;(TODAY()-548)),'Game History'!G:G,"WFTDA",'Game History'!H:H,"Reg",'Game History'!I:I,Instructions!A75)+COUNTIFS('Game History'!A:A,("&gt;"&amp;(TODAY()-548)),'Game History'!G:G,"WFTDA",'Game History'!H:H,"Reg",'Game History'!J:J,Instructions!A75)</f>
        <v>0</v>
      </c>
      <c r="L9" s="136" t="n">
        <f aca="false">SUM(I9,J9,K9)</f>
        <v>0</v>
      </c>
      <c r="M9" s="11"/>
      <c r="N9" s="126"/>
      <c r="O9" s="126"/>
      <c r="P9" s="126"/>
      <c r="Q9" s="126"/>
      <c r="R9" s="126"/>
      <c r="S9" s="126"/>
      <c r="T9" s="126"/>
    </row>
    <row r="10" customFormat="false" ht="15.75" hidden="false" customHeight="true" outlineLevel="0" collapsed="false">
      <c r="A10" s="84" t="s">
        <v>38</v>
      </c>
      <c r="B10" s="135" t="n">
        <f aca="true">COUNTIFS('Game History'!A:A,("&gt;"&amp;(TODAY()-365)),'Game History'!G:G,"WFTDA",'Game History'!H:H,"Champs",'Game History'!I:I,Instructions!A76)+COUNTIFS('Game History'!A:A,("&gt;"&amp;(TODAY()-365)),'Game History'!G:G,"WFTDA",'Game History'!H:H,"Playoff",'Game History'!I:I,Instructions!A76)+COUNTIFS('Game History'!A:A,("&gt;"&amp;(TODAY()-365)),'Game History'!G:G,"WFTDA",'Game History'!H:H,"Champs",'Game History'!J:J,Instructions!A76)+COUNTIFS('Game History'!A:A,("&gt;"&amp;(TODAY()-365)),'Game History'!G:G,"WFTDA",'Game History'!H:H,"Playoff",'Game History'!J:J,Instructions!A76)</f>
        <v>0</v>
      </c>
      <c r="C10" s="135" t="n">
        <f aca="true">COUNTIFS('Game History'!A:A,("&gt;"&amp;(TODAY()-365)),'Game History'!G:G,"WFTDA",'Game History'!H:H,"Sanc",'Game History'!I:I,Instructions!A76)+COUNTIFS('Game History'!A:A,("&gt;"&amp;(TODAY()-365)),'Game History'!G:G,"WFTDA",'Game History'!H:H,"Sanc",'Game History'!J:J,Instructions!A76)</f>
        <v>0</v>
      </c>
      <c r="D10" s="135" t="n">
        <f aca="true">COUNTIFS('Game History'!A:A,("&gt;"&amp;(TODAY()-365)),'Game History'!G:G,"WFTDA",'Game History'!H:H,"Reg",'Game History'!I:I,Instructions!A76)+COUNTIFS('Game History'!A:A,("&gt;"&amp;(TODAY()-365)),'Game History'!G:G,"WFTDA",'Game History'!H:H,"Reg",'Game History'!J:J,Instructions!A76)</f>
        <v>0</v>
      </c>
      <c r="E10" s="136" t="n">
        <f aca="false">SUM(B10,C10,D10)</f>
        <v>0</v>
      </c>
      <c r="F10" s="126"/>
      <c r="G10" s="131"/>
      <c r="H10" s="137" t="s">
        <v>38</v>
      </c>
      <c r="I10" s="135" t="n">
        <f aca="true">COUNTIFS('Game History'!A:A,("&gt;"&amp;(TODAY()-548)),'Game History'!G:G,"WFTDA",'Game History'!H:H,"Champs",'Game History'!I:I,Instructions!A76)+COUNTIFS('Game History'!A:A,("&gt;"&amp;(TODAY()-548)),'Game History'!G:G,"WFTDA",'Game History'!H:H,"Playoff",'Game History'!I:I,Instructions!A76)+COUNTIFS('Game History'!A:A,("&gt;"&amp;(TODAY()-548)),'Game History'!G:G,"WFTDA",'Game History'!H:H,"Champs",'Game History'!J:J,Instructions!A76)+COUNTIFS('Game History'!A:A,("&gt;"&amp;(TODAY()-548)),'Game History'!G:G,"WFTDA",'Game History'!H:H,"Playoff",'Game History'!J:J,Instructions!A76)</f>
        <v>0</v>
      </c>
      <c r="J10" s="135" t="n">
        <f aca="true">COUNTIFS('Game History'!A:A,("&gt;"&amp;(TODAY()-548)),'Game History'!G:G,"WFTDA",'Game History'!H:H,"Sanc",'Game History'!I:I,Instructions!A76)+COUNTIFS('Game History'!A:A,("&gt;"&amp;(TODAY()-548)),'Game History'!G:G,"WFTDA",'Game History'!H:H,"Sanc",'Game History'!J:J,Instructions!A76)</f>
        <v>0</v>
      </c>
      <c r="K10" s="135" t="n">
        <f aca="true">COUNTIFS('Game History'!A:A,("&gt;"&amp;(TODAY()-548)),'Game History'!G:G,"WFTDA",'Game History'!H:H,"Reg",'Game History'!I:I,Instructions!A76)+COUNTIFS('Game History'!A:A,("&gt;"&amp;(TODAY()-548)),'Game History'!G:G,"WFTDA",'Game History'!H:H,"Reg",'Game History'!J:J,Instructions!A76)</f>
        <v>0</v>
      </c>
      <c r="L10" s="136" t="n">
        <f aca="false">SUM(I10,J10,K10)</f>
        <v>0</v>
      </c>
      <c r="M10" s="126"/>
      <c r="N10" s="126"/>
      <c r="O10" s="126"/>
      <c r="P10" s="126"/>
      <c r="Q10" s="126"/>
      <c r="R10" s="126"/>
      <c r="S10" s="126"/>
      <c r="T10" s="126"/>
    </row>
    <row r="11" customFormat="false" ht="15.75" hidden="false" customHeight="true" outlineLevel="0" collapsed="false">
      <c r="A11" s="84" t="s">
        <v>304</v>
      </c>
      <c r="B11" s="135" t="n">
        <f aca="true">COUNTIFS('Game History'!A:A,("&gt;"&amp;(TODAY()-365)),'Game History'!G:G,"WFTDA",'Game History'!H:H,"Champs",'Game History'!I:I,Instructions!A87)+COUNTIFS('Game History'!A:A,("&gt;"&amp;(TODAY()-365)),'Game History'!G:G,"WFTDA",'Game History'!H:H,"Playoff",'Game History'!I:I,Instructions!A87)</f>
        <v>0</v>
      </c>
      <c r="C11" s="135" t="n">
        <f aca="true">COUNTIFS('Game History'!A:A,("&gt;"&amp;(TODAY()-365)),'Game History'!G:G,"WFTDA",'Game History'!H:H,"Sanc",'Game History'!I:I,Instructions!A87)</f>
        <v>0</v>
      </c>
      <c r="D11" s="135" t="n">
        <f aca="true">COUNTIFS('Game History'!A:A,("&gt;"&amp;(TODAY()-365)),'Game History'!G:G,"WFTDA",'Game History'!H:H,"Reg",'Game History'!I:I,Instructions!A87)</f>
        <v>0</v>
      </c>
      <c r="E11" s="136" t="n">
        <f aca="false">SUM(B11,C11,D11)</f>
        <v>0</v>
      </c>
      <c r="F11" s="126"/>
      <c r="G11" s="131"/>
      <c r="H11" s="137" t="s">
        <v>304</v>
      </c>
      <c r="I11" s="135" t="n">
        <f aca="true">COUNTIFS('Game History'!A:A,("&gt;"&amp;(TODAY()-548)),'Game History'!G:G,"WFTDA",'Game History'!H:H,"Champs",'Game History'!I:I,Instructions!A87)+COUNTIFS('Game History'!A:A,("&gt;"&amp;(TODAY()-548)),'Game History'!G:G,"WFTDA",'Game History'!H:H,"Playoff",'Game History'!I:I,Instructions!A87)</f>
        <v>0</v>
      </c>
      <c r="J11" s="135" t="n">
        <f aca="true">COUNTIFS('Game History'!A:A,("&gt;"&amp;(TODAY()-548)),'Game History'!G:G,"WFTDA",'Game History'!H:H,"Sanc",'Game History'!I:I,Instructions!A87)</f>
        <v>0</v>
      </c>
      <c r="K11" s="135" t="n">
        <f aca="true">COUNTIFS('Game History'!A:A,("&gt;"&amp;(TODAY()-548)),'Game History'!G:G,"WFTDA",'Game History'!H:H,"Reg",'Game History'!I:I,Instructions!A87)</f>
        <v>0</v>
      </c>
      <c r="L11" s="136" t="n">
        <f aca="false">SUM(I11,J11,K11)</f>
        <v>0</v>
      </c>
      <c r="M11" s="126"/>
      <c r="N11" s="126"/>
      <c r="O11" s="126"/>
      <c r="P11" s="126"/>
      <c r="Q11" s="126"/>
      <c r="R11" s="126"/>
      <c r="S11" s="126"/>
      <c r="T11" s="126"/>
    </row>
    <row r="12" customFormat="false" ht="15.75" hidden="false" customHeight="true" outlineLevel="0" collapsed="false">
      <c r="A12" s="84" t="s">
        <v>305</v>
      </c>
      <c r="B12" s="136" t="n">
        <f aca="false">SUM(B5:B11)</f>
        <v>0</v>
      </c>
      <c r="C12" s="136" t="n">
        <f aca="false">SUM(C5:C11)</f>
        <v>0</v>
      </c>
      <c r="D12" s="136" t="n">
        <f aca="false">SUM(D5:D11)</f>
        <v>0</v>
      </c>
      <c r="E12" s="136" t="n">
        <f aca="false">SUM(E5:E11)</f>
        <v>0</v>
      </c>
      <c r="F12" s="126"/>
      <c r="G12" s="131"/>
      <c r="H12" s="137" t="s">
        <v>305</v>
      </c>
      <c r="I12" s="136" t="n">
        <f aca="false">SUM(I5:I11)</f>
        <v>0</v>
      </c>
      <c r="J12" s="136" t="n">
        <f aca="false">SUM(J5:J11)</f>
        <v>0</v>
      </c>
      <c r="K12" s="136" t="n">
        <f aca="false">SUM(K5:K11)</f>
        <v>0</v>
      </c>
      <c r="L12" s="136" t="n">
        <f aca="false">SUM(L5:L11)</f>
        <v>0</v>
      </c>
      <c r="M12" s="126"/>
      <c r="N12" s="126"/>
      <c r="O12" s="126"/>
      <c r="P12" s="126"/>
      <c r="Q12" s="126"/>
      <c r="R12" s="126"/>
      <c r="S12" s="126"/>
      <c r="T12" s="126"/>
    </row>
    <row r="13" customFormat="false" ht="15.75" hidden="false" customHeight="true" outlineLevel="0" collapsed="false">
      <c r="A13" s="129"/>
      <c r="B13" s="129"/>
      <c r="C13" s="129"/>
      <c r="D13" s="129"/>
      <c r="E13" s="129"/>
      <c r="F13" s="126"/>
      <c r="G13" s="126"/>
      <c r="H13" s="129"/>
      <c r="I13" s="129"/>
      <c r="J13" s="129"/>
      <c r="K13" s="129"/>
      <c r="L13" s="129"/>
      <c r="M13" s="126"/>
      <c r="N13" s="126"/>
      <c r="O13" s="126"/>
      <c r="P13" s="126"/>
      <c r="Q13" s="126"/>
      <c r="R13" s="126"/>
      <c r="S13" s="126"/>
      <c r="T13" s="126"/>
    </row>
    <row r="14" customFormat="false" ht="15.75" hidden="false" customHeight="true" outlineLevel="0" collapsed="false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</row>
    <row r="15" customFormat="false" ht="15.75" hidden="false" customHeight="true" outlineLevel="0" collapsed="false">
      <c r="A15" s="127" t="s">
        <v>306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6"/>
      <c r="O15" s="126"/>
      <c r="P15" s="126"/>
      <c r="Q15" s="126"/>
      <c r="R15" s="126"/>
      <c r="S15" s="126"/>
      <c r="T15" s="126"/>
    </row>
    <row r="16" customFormat="false" ht="15.75" hidden="false" customHeight="true" outlineLevel="0" collapsed="false">
      <c r="A16" s="128"/>
      <c r="B16" s="128"/>
      <c r="C16" s="128"/>
      <c r="D16" s="128"/>
      <c r="E16" s="128"/>
      <c r="F16" s="129"/>
      <c r="G16" s="129"/>
      <c r="H16" s="128"/>
      <c r="I16" s="128"/>
      <c r="J16" s="128"/>
      <c r="K16" s="128"/>
      <c r="L16" s="128"/>
      <c r="M16" s="129"/>
      <c r="N16" s="126"/>
      <c r="O16" s="126"/>
      <c r="P16" s="126"/>
      <c r="Q16" s="126"/>
      <c r="R16" s="126"/>
      <c r="S16" s="126"/>
      <c r="T16" s="126"/>
    </row>
    <row r="17" customFormat="false" ht="15.75" hidden="false" customHeight="true" outlineLevel="0" collapsed="false">
      <c r="A17" s="138" t="s">
        <v>301</v>
      </c>
      <c r="B17" s="73" t="s">
        <v>20</v>
      </c>
      <c r="C17" s="73" t="s">
        <v>21</v>
      </c>
      <c r="D17" s="73" t="s">
        <v>22</v>
      </c>
      <c r="E17" s="73" t="s">
        <v>302</v>
      </c>
      <c r="F17" s="10"/>
      <c r="G17" s="131"/>
      <c r="H17" s="132" t="s">
        <v>303</v>
      </c>
      <c r="I17" s="133" t="s">
        <v>20</v>
      </c>
      <c r="J17" s="133" t="s">
        <v>21</v>
      </c>
      <c r="K17" s="133" t="s">
        <v>22</v>
      </c>
      <c r="L17" s="134" t="s">
        <v>302</v>
      </c>
      <c r="M17" s="10"/>
      <c r="N17" s="126"/>
      <c r="O17" s="126"/>
      <c r="P17" s="126"/>
      <c r="Q17" s="126"/>
      <c r="R17" s="126"/>
      <c r="S17" s="126"/>
      <c r="T17" s="126"/>
    </row>
    <row r="18" customFormat="false" ht="15.75" hidden="false" customHeight="true" outlineLevel="0" collapsed="false">
      <c r="A18" s="84" t="s">
        <v>63</v>
      </c>
      <c r="B18" s="135" t="n">
        <f aca="true">COUNTIFS('Game History'!A:A,("&gt;"&amp;(TODAY()-365)),'Game History'!G:G,"WFTDA",'Game History'!H:H,"Champs",'Game History'!I:I,Instructions!A71)+COUNTIFS('Game History'!A:A,("&gt;"&amp;(TODAY()-365)),'Game History'!G:G,"WFTDA",'Game History'!H:H,"Playoff",'Game History'!I:I,Instructions!A71)</f>
        <v>0</v>
      </c>
      <c r="C18" s="135" t="n">
        <f aca="true">COUNTIFS('Game History'!A:A,("&gt;"&amp;(TODAY()-365)),'Game History'!G:G,"WFTDA",'Game History'!H:H,"Sanc",'Game History'!I:I,Instructions!A71)</f>
        <v>0</v>
      </c>
      <c r="D18" s="139" t="n">
        <f aca="true">COUNTIFS('Game History'!A:A,("&gt;"&amp;(TODAY()-365)),'Game History'!G:G,"WFTDA",'Game History'!H:H,"Reg",'Game History'!I:I,Instructions!A71)</f>
        <v>0</v>
      </c>
      <c r="E18" s="136" t="n">
        <f aca="false">SUM(B18+C18+D18)</f>
        <v>0</v>
      </c>
      <c r="F18" s="126"/>
      <c r="G18" s="131"/>
      <c r="H18" s="137" t="s">
        <v>63</v>
      </c>
      <c r="I18" s="135" t="n">
        <f aca="true">COUNTIFS('Game History'!A:A,("&gt;"&amp;(TODAY()-548)),'Game History'!G:G,"WFTDA",'Game History'!H:H,"Champs",'Game History'!I:I,Instructions!A71)+COUNTIFS('Game History'!A:A,("&gt;"&amp;(TODAY()-548)),'Game History'!G:G,"WFTDA",'Game History'!H:H,"Playoff",'Game History'!I:I,Instructions!A71)</f>
        <v>0</v>
      </c>
      <c r="J18" s="135" t="n">
        <f aca="true">COUNTIFS('Game History'!A:A,("&gt;"&amp;(TODAY()-548)),'Game History'!G:G,"WFTDA",'Game History'!H:H,"Sanc",'Game History'!I:I,Instructions!A71)</f>
        <v>0</v>
      </c>
      <c r="K18" s="139" t="n">
        <f aca="true">COUNTIFS('Game History'!A:A,("&gt;"&amp;(TODAY()-548)),'Game History'!G:G,"WFTDA",'Game History'!H:H,"Reg",'Game History'!I:I,Instructions!A71)</f>
        <v>0</v>
      </c>
      <c r="L18" s="136" t="n">
        <f aca="false">SUM(I18+J18+K18)</f>
        <v>0</v>
      </c>
      <c r="M18" s="126"/>
      <c r="N18" s="126"/>
      <c r="O18" s="126"/>
      <c r="P18" s="126"/>
      <c r="Q18" s="126"/>
      <c r="R18" s="126"/>
      <c r="S18" s="126"/>
      <c r="T18" s="126"/>
    </row>
    <row r="19" customFormat="false" ht="15.75" hidden="false" customHeight="true" outlineLevel="0" collapsed="false">
      <c r="A19" s="84" t="s">
        <v>67</v>
      </c>
      <c r="B19" s="21" t="n">
        <f aca="true">COUNTIFS('Game History'!A:A,("&gt;"&amp;(TODAY()-365)),'Game History'!G:G,"WFTDA",'Game History'!H:H,"Champs",'Game History'!I:I,Instructions!A72)+COUNTIFS('Game History'!A:A,("&gt;"&amp;(TODAY()-365)),'Game History'!G:G,"WFTDA",'Game History'!H:H,"Playoff",'Game History'!I:I,Instructions!A72)+COUNTIFS('Game History'!A:A,("&gt;"&amp;(TODAY()-365)),'Game History'!G:G,"WFTDA",'Game History'!H:H,"Champs",'Game History'!I:I,Instructions!A73)+COUNTIFS('Game History'!A:A,("&gt;"&amp;(TODAY()-365)),'Game History'!G:G,"WFTDA",'Game History'!H:H,"Playoff",'Game History'!I:I,Instructions!A73)</f>
        <v>0</v>
      </c>
      <c r="C19" s="139" t="n">
        <f aca="true">COUNTIFS('Game History'!A:A,("&gt;"&amp;(TODAY()-365)),'Game History'!G:G,"WFTDA",'Game History'!H:H,"Sanc",'Game History'!I:I,Instructions!A72)</f>
        <v>0</v>
      </c>
      <c r="D19" s="139" t="n">
        <f aca="true">COUNTIFS('Game History'!A:A,("&gt;"&amp;(TODAY()-365)),'Game History'!G:G,"WFTDA",'Game History'!H:H,"Reg",'Game History'!I:I,Instructions!A72)</f>
        <v>0</v>
      </c>
      <c r="E19" s="140" t="n">
        <f aca="false">SUM(B19+C19+D19)</f>
        <v>0</v>
      </c>
      <c r="F19" s="126"/>
      <c r="G19" s="131"/>
      <c r="H19" s="137" t="s">
        <v>67</v>
      </c>
      <c r="I19" s="21" t="n">
        <f aca="true">COUNTIFS('Game History'!A:A,("&gt;"&amp;(TODAY()-548)),'Game History'!G:G,"WFTDA",'Game History'!H:H,"Champs",'Game History'!I:I,Instructions!A72)+COUNTIFS('Game History'!A:A,("&gt;"&amp;(TODAY()-548)),'Game History'!G:G,"WFTDA",'Game History'!H:H,"Playoff",'Game History'!I:I,Instructions!A72)+COUNTIFS('Game History'!A:A,("&gt;"&amp;(TODAY()-548)),'Game History'!G:G,"WFTDA",'Game History'!H:H,"Champs",'Game History'!I:I,Instructions!A73)+COUNTIFS('Game History'!A:A,("&gt;"&amp;(TODAY()-548)),'Game History'!G:G,"WFTDA",'Game History'!H:H,"Playoff",'Game History'!I:I,Instructions!A73)</f>
        <v>0</v>
      </c>
      <c r="J19" s="135" t="n">
        <f aca="true">COUNTIFS('Game History'!A:A,("&gt;"&amp;(TODAY()-548)),'Game History'!G:G,"WFTDA",'Game History'!H:H,"Sanc",'Game History'!I:I,Instructions!A72)</f>
        <v>0</v>
      </c>
      <c r="K19" s="139" t="n">
        <f aca="true">COUNTIFS('Game History'!A:A,("&gt;"&amp;(TODAY()-548)),'Game History'!G:G,"WFTDA",'Game History'!H:H,"Reg",'Game History'!I:I,Instructions!A72)</f>
        <v>0</v>
      </c>
      <c r="L19" s="140" t="n">
        <f aca="false">SUM(I19+J19+K19)</f>
        <v>0</v>
      </c>
      <c r="M19" s="126"/>
      <c r="N19" s="126"/>
      <c r="O19" s="126"/>
      <c r="P19" s="126"/>
      <c r="Q19" s="126"/>
      <c r="R19" s="126"/>
      <c r="S19" s="126"/>
      <c r="T19" s="126"/>
    </row>
    <row r="20" customFormat="false" ht="15.75" hidden="false" customHeight="true" outlineLevel="0" collapsed="false">
      <c r="A20" s="84" t="s">
        <v>28</v>
      </c>
      <c r="B20" s="94" t="s">
        <v>26</v>
      </c>
      <c r="C20" s="139" t="n">
        <f aca="true">COUNTIFS('Game History'!A:A,("&gt;"&amp;(TODAY()-365)),'Game History'!G:G,"WFTDA",'Game History'!H:H,"Sanc",'Game History'!I:I,Instructions!A73)</f>
        <v>0</v>
      </c>
      <c r="D20" s="139" t="n">
        <f aca="true">COUNTIFS('Game History'!A:A,("&gt;"&amp;(TODAY()-365)),'Game History'!G:G,"WFTDA",'Game History'!H:H,"Reg",'Game History'!I:I,Instructions!A73)</f>
        <v>0</v>
      </c>
      <c r="E20" s="136" t="n">
        <f aca="false">SUM(C20+D20)</f>
        <v>0</v>
      </c>
      <c r="F20" s="73" t="s">
        <v>307</v>
      </c>
      <c r="G20" s="141"/>
      <c r="H20" s="137" t="s">
        <v>28</v>
      </c>
      <c r="I20" s="142" t="s">
        <v>26</v>
      </c>
      <c r="J20" s="135" t="n">
        <f aca="true">COUNTIFS('Game History'!A:A,("&gt;"&amp;(TODAY()-548)),'Game History'!G:G,"WFTDA",'Game History'!H:H,"Sanc",'Game History'!I:I,Instructions!A73)</f>
        <v>0</v>
      </c>
      <c r="K20" s="139" t="n">
        <f aca="true">COUNTIFS('Game History'!A:A,("&gt;"&amp;(TODAY()-548)),'Game History'!G:G,"WFTDA",'Game History'!H:H,"Reg",'Game History'!I:I,Instructions!A73)</f>
        <v>0</v>
      </c>
      <c r="L20" s="136" t="n">
        <f aca="false">SUM(J20+K20)</f>
        <v>0</v>
      </c>
      <c r="M20" s="133" t="s">
        <v>307</v>
      </c>
      <c r="N20" s="126"/>
      <c r="O20" s="126"/>
      <c r="P20" s="126"/>
      <c r="Q20" s="126"/>
      <c r="R20" s="126"/>
      <c r="S20" s="126"/>
      <c r="T20" s="126"/>
    </row>
    <row r="21" customFormat="false" ht="15.75" hidden="false" customHeight="true" outlineLevel="0" collapsed="false">
      <c r="A21" s="84" t="s">
        <v>32</v>
      </c>
      <c r="B21" s="139" t="n">
        <f aca="true">COUNTIFS('Game History'!A:A,("&gt;"&amp;(TODAY()-365)),'Game History'!G:G,"WFTDA",'Game History'!H:H,"Champs",'Game History'!I:I,Instructions!A77)+COUNTIFS('Game History'!A:A,("&gt;"&amp;(TODAY()-365)),'Game History'!G:G,"WFTDA",'Game History'!H:H,"Playoff",'Game History'!I:I,Instructions!A77)+COUNTIFS('Game History'!A:A,("&gt;"&amp;(TODAY()-365)),'Game History'!G:G,"WFTDA",'Game History'!H:H,"Champs",'Game History'!J:J,Instructions!A77)+COUNTIFS('Game History'!A:A,("&gt;"&amp;(TODAY()-365)),'Game History'!G:G,"WFTDA",'Game History'!H:H,"Playoff",'Game History'!J:J,Instructions!A77)</f>
        <v>0</v>
      </c>
      <c r="C21" s="139" t="n">
        <f aca="true">COUNTIFS('Game History'!A:A,("&gt;"&amp;(TODAY()-365)),'Game History'!G:G,"WFTDA",'Game History'!H:H,"Sanc",'Game History'!I:I,Instructions!A77)+COUNTIFS('Game History'!A:A,("&gt;"&amp;(TODAY()-365)),'Game History'!G:G,"WFTDA",'Game History'!H:H,"Sanc",'Game History'!J:J,Instructions!A77)</f>
        <v>0</v>
      </c>
      <c r="D21" s="139" t="n">
        <f aca="true">COUNTIFS('Game History'!A:A,("&gt;"&amp;(TODAY()-365)),'Game History'!G:G,"WFTDA",'Game History'!H:H,"Reg",'Game History'!I:I,Instructions!A77)+COUNTIFS('Game History'!A:A,("&gt;"&amp;(TODAY()-365)),'Game History'!G:G,"WFTDA",'Game History'!H:H,"Reg",'Game History'!J:J,Instructions!A77)</f>
        <v>0</v>
      </c>
      <c r="E21" s="136" t="n">
        <f aca="false">SUM(B21+C21+D21)</f>
        <v>0</v>
      </c>
      <c r="F21" s="135" t="n">
        <f aca="true">COUNTIFS('Game History'!A:A,("&gt;"&amp;(TODAY()-365)),'Game History'!G:G,"WFTDA",'Game History'!I:I,A21,'Game History'!K:K,"Y")+COUNTIFS('Game History'!A:A,("&gt;"&amp;(TODAY()-365)),'Game History'!G:G,"WFTDA",'Game History'!J:J,A21,'Game History'!K:K,"Y")</f>
        <v>0</v>
      </c>
      <c r="G21" s="141"/>
      <c r="H21" s="137" t="s">
        <v>32</v>
      </c>
      <c r="I21" s="139" t="n">
        <f aca="true">COUNTIFS('Game History'!A:A,("&gt;"&amp;(TODAY()-548)),'Game History'!G:G,"WFTDA",'Game History'!H:H,"Champs",'Game History'!I:I,Instructions!A77)+COUNTIFS('Game History'!A:A,("&gt;"&amp;(TODAY()-548)),'Game History'!G:G,"WFTDA",'Game History'!H:H,"Playoff",'Game History'!I:I,Instructions!A77)+COUNTIFS('Game History'!A:A,("&gt;"&amp;(TODAY()-548)),'Game History'!G:G,"WFTDA",'Game History'!H:H,"Champs",'Game History'!J:J,Instructions!A77)+COUNTIFS('Game History'!A:A,("&gt;"&amp;(TODAY()-548)),'Game History'!G:G,"WFTDA",'Game History'!H:H,"Playoff",'Game History'!J:J,Instructions!A77)</f>
        <v>0</v>
      </c>
      <c r="J21" s="135" t="n">
        <f aca="true">COUNTIFS('Game History'!A:A,("&gt;"&amp;(TODAY()-548)),'Game History'!G:G,"WFTDA",'Game History'!H:H,"Sanc",'Game History'!I:I,Instructions!A77)+COUNTIFS('Game History'!A:A,("&gt;"&amp;(TODAY()-548)),'Game History'!G:G,"WFTDA",'Game History'!H:H,"Sanc",'Game History'!J:J,Instructions!A77)</f>
        <v>0</v>
      </c>
      <c r="K21" s="139" t="n">
        <f aca="true">COUNTIFS('Game History'!A:A,("&gt;"&amp;(TODAY()-548)),'Game History'!G:G,"WFTDA",'Game History'!H:H,"Reg",'Game History'!I:I,Instructions!A77)+COUNTIFS('Game History'!A:A,("&gt;"&amp;(TODAY()-548)),'Game History'!G:G,"WFTDA",'Game History'!H:H,"Reg",'Game History'!J:J,Instructions!A77)</f>
        <v>0</v>
      </c>
      <c r="L21" s="136" t="n">
        <f aca="false">SUM(I21+J21+K21)</f>
        <v>0</v>
      </c>
      <c r="M21" s="135" t="n">
        <f aca="true">COUNTIFS('Game History'!A:A,("&gt;"&amp;(TODAY()-548)),'Game History'!G:G,"WFTDA",'Game History'!I:I,A21,'Game History'!K:K,"Y")+COUNTIFS('Game History'!A:A,("&gt;"&amp;(TODAY()-548)),'Game History'!G:G,"WFTDA",'Game History'!J:J,A21,'Game History'!K:K,"Y")</f>
        <v>0</v>
      </c>
      <c r="N21" s="126"/>
      <c r="O21" s="126"/>
      <c r="P21" s="126"/>
      <c r="Q21" s="126"/>
      <c r="R21" s="126"/>
      <c r="S21" s="126"/>
      <c r="T21" s="126"/>
    </row>
    <row r="22" customFormat="false" ht="15.75" hidden="false" customHeight="true" outlineLevel="0" collapsed="false">
      <c r="A22" s="84" t="s">
        <v>36</v>
      </c>
      <c r="B22" s="139" t="n">
        <f aca="true">COUNTIFS('Game History'!A:A,("&gt;"&amp;(TODAY()-365)),'Game History'!G:G,"WFTDA",'Game History'!H:H,"Champs",'Game History'!I:I,Instructions!A78)+COUNTIFS('Game History'!A:A,("&gt;"&amp;(TODAY()-365)),'Game History'!G:G,"WFTDA",'Game History'!H:H,"Playoff",'Game History'!I:I,Instructions!A78)+COUNTIFS('Game History'!A:A,("&gt;"&amp;(TODAY()-365)),'Game History'!G:G,"WFTDA",'Game History'!H:H,"Champs",'Game History'!J:J,Instructions!A78)+COUNTIFS('Game History'!A:A,("&gt;"&amp;(TODAY()-365)),'Game History'!G:G,"WFTDA",'Game History'!H:H,"Playoff",'Game History'!J:J,Instructions!A78)</f>
        <v>0</v>
      </c>
      <c r="C22" s="139" t="n">
        <f aca="true">COUNTIFS('Game History'!A:A,("&gt;"&amp;(TODAY()-365)),'Game History'!G:G,"WFTDA",'Game History'!H:H,"Sanc",'Game History'!I:I,Instructions!A78)+COUNTIFS('Game History'!A:A,("&gt;"&amp;(TODAY()-365)),'Game History'!G:G,"WFTDA",'Game History'!H:H,"Sanc",'Game History'!J:J,Instructions!A78)</f>
        <v>0</v>
      </c>
      <c r="D22" s="139" t="n">
        <f aca="true">COUNTIFS('Game History'!A:A,("&gt;"&amp;(TODAY()-365)),'Game History'!G:G,"WFTDA",'Game History'!H:H,"Reg",'Game History'!I:I,Instructions!A78)+COUNTIFS('Game History'!A:A,("&gt;"&amp;(TODAY()-365)),'Game History'!G:G,"WFTDA",'Game History'!H:H,"Reg",'Game History'!J:J,Instructions!A78)</f>
        <v>0</v>
      </c>
      <c r="E22" s="136" t="n">
        <f aca="false">SUM(B22+C22+D22)</f>
        <v>0</v>
      </c>
      <c r="F22" s="135" t="n">
        <f aca="true">COUNTIFS('Game History'!A:A,("&gt;"&amp;(TODAY()-365)),'Game History'!G:G,"WFTDA",'Game History'!I:I,A22,'Game History'!K:K,"Y")+COUNTIFS('Game History'!A:A,("&gt;"&amp;(TODAY()-365)),'Game History'!G:G,"WFTDA",'Game History'!J:J,A22,'Game History'!K:K,"Y")</f>
        <v>0</v>
      </c>
      <c r="G22" s="141"/>
      <c r="H22" s="137" t="s">
        <v>36</v>
      </c>
      <c r="I22" s="139" t="n">
        <f aca="true">COUNTIFS('Game History'!A:A,("&gt;"&amp;(TODAY()-548)),'Game History'!G:G,"WFTDA",'Game History'!H:H,"Champs",'Game History'!I:I,Instructions!A78)+COUNTIFS('Game History'!A:A,("&gt;"&amp;(TODAY()-548)),'Game History'!G:G,"WFTDA",'Game History'!H:H,"Playoff",'Game History'!I:I,Instructions!A78)+COUNTIFS('Game History'!A:A,("&gt;"&amp;(TODAY()-548)),'Game History'!G:G,"WFTDA",'Game History'!H:H,"Champs",'Game History'!J:J,Instructions!A78)+COUNTIFS('Game History'!A:A,("&gt;"&amp;(TODAY()-548)),'Game History'!G:G,"WFTDA",'Game History'!H:H,"Playoff",'Game History'!J:J,Instructions!A78)</f>
        <v>0</v>
      </c>
      <c r="J22" s="135" t="n">
        <f aca="true">COUNTIFS('Game History'!A:A,("&gt;"&amp;(TODAY()-548)),'Game History'!G:G,"WFTDA",'Game History'!H:H,"Sanc",'Game History'!I:I,Instructions!A78)+COUNTIFS('Game History'!A:A,("&gt;"&amp;(TODAY()-548)),'Game History'!G:G,"WFTDA",'Game History'!H:H,"Sanc",'Game History'!J:J,Instructions!A78)</f>
        <v>0</v>
      </c>
      <c r="K22" s="139" t="n">
        <f aca="true">COUNTIFS('Game History'!A:A,("&gt;"&amp;(TODAY()-548)),'Game History'!G:G,"WFTDA",'Game History'!H:H,"Reg",'Game History'!I:I,Instructions!A78)+COUNTIFS('Game History'!A:A,("&gt;"&amp;(TODAY()-548)),'Game History'!G:G,"WFTDA",'Game History'!H:H,"Reg",'Game History'!J:J,Instructions!A78)</f>
        <v>0</v>
      </c>
      <c r="L22" s="136" t="n">
        <f aca="false">SUM(I22+J22+K22)</f>
        <v>0</v>
      </c>
      <c r="M22" s="135" t="n">
        <f aca="true">COUNTIFS('Game History'!A:A,("&gt;"&amp;(TODAY()-548)),'Game History'!G:G,"WFTDA",'Game History'!I:I,A22,'Game History'!K:K,"Y")+COUNTIFS('Game History'!A:A,("&gt;"&amp;(TODAY()-548)),'Game History'!G:G,"WFTDA",'Game History'!J:J,A22,'Game History'!K:K,"Y")</f>
        <v>0</v>
      </c>
      <c r="N22" s="126"/>
      <c r="O22" s="126"/>
      <c r="P22" s="126"/>
      <c r="Q22" s="126"/>
      <c r="R22" s="126"/>
      <c r="S22" s="126"/>
      <c r="T22" s="126"/>
    </row>
    <row r="23" customFormat="false" ht="15.75" hidden="false" customHeight="true" outlineLevel="0" collapsed="false">
      <c r="A23" s="84" t="s">
        <v>40</v>
      </c>
      <c r="B23" s="139" t="n">
        <f aca="true">COUNTIFS('Game History'!A:A,("&gt;"&amp;(TODAY()-365)),'Game History'!G:G,"WFTDA",'Game History'!H:H,"Champs",'Game History'!I:I,Instructions!A79)+COUNTIFS('Game History'!A:A,("&gt;"&amp;(TODAY()-365)),'Game History'!G:G,"WFTDA",'Game History'!H:H,"Playoff",'Game History'!I:I,Instructions!A79)+COUNTIFS('Game History'!A:A,("&gt;"&amp;(TODAY()-365)),'Game History'!G:G,"WFTDA",'Game History'!H:H,"Champs",'Game History'!J:J,Instructions!A79)+COUNTIFS('Game History'!A:A,("&gt;"&amp;(TODAY()-365)),'Game History'!G:G,"WFTDA",'Game History'!H:H,"Playoff",'Game History'!J:J,Instructions!A79)</f>
        <v>0</v>
      </c>
      <c r="C23" s="139" t="n">
        <f aca="true">COUNTIFS('Game History'!A:A,("&gt;"&amp;(TODAY()-365)),'Game History'!G:G,"WFTDA",'Game History'!H:H,"Sanc",'Game History'!I:I,Instructions!A79)+COUNTIFS('Game History'!A:A,("&gt;"&amp;(TODAY()-365)),'Game History'!G:G,"WFTDA",'Game History'!H:H,"Sanc",'Game History'!J:J,Instructions!A79)</f>
        <v>0</v>
      </c>
      <c r="D23" s="139" t="n">
        <f aca="true">COUNTIFS('Game History'!A:A,("&gt;"&amp;(TODAY()-365)),'Game History'!G:G,"WFTDA",'Game History'!H:H,"Reg",'Game History'!I:I,Instructions!A79)+COUNTIFS('Game History'!A:A,("&gt;"&amp;(TODAY()-365)),'Game History'!G:G,"WFTDA",'Game History'!H:H,"Reg",'Game History'!J:J,Instructions!A79)</f>
        <v>0</v>
      </c>
      <c r="E23" s="136" t="n">
        <f aca="false">SUM(B23+C23+D23)</f>
        <v>0</v>
      </c>
      <c r="F23" s="135" t="n">
        <f aca="true">COUNTIFS('Game History'!A:A,("&gt;"&amp;(TODAY()-365)),'Game History'!G:G,"WFTDA",'Game History'!I:I,A23,'Game History'!K:K,"Y")+COUNTIFS('Game History'!A:A,("&gt;"&amp;(TODAY()-365)),'Game History'!G:G,"WFTDA",'Game History'!J:J,A23,'Game History'!K:K,"Y")</f>
        <v>0</v>
      </c>
      <c r="G23" s="141"/>
      <c r="H23" s="137" t="s">
        <v>40</v>
      </c>
      <c r="I23" s="139" t="n">
        <f aca="true">COUNTIFS('Game History'!A:A,("&gt;"&amp;(TODAY()-548)),'Game History'!G:G,"WFTDA",'Game History'!H:H,"Champs",'Game History'!I:I,Instructions!A79)+COUNTIFS('Game History'!A:A,("&gt;"&amp;(TODAY()-548)),'Game History'!G:G,"WFTDA",'Game History'!H:H,"Playoff",'Game History'!I:I,Instructions!A79)+COUNTIFS('Game History'!A:A,("&gt;"&amp;(TODAY()-548)),'Game History'!G:G,"WFTDA",'Game History'!H:H,"Champs",'Game History'!J:J,Instructions!A79)+COUNTIFS('Game History'!A:A,("&gt;"&amp;(TODAY()-548)),'Game History'!G:G,"WFTDA",'Game History'!H:H,"Playoff",'Game History'!J:J,Instructions!A79)</f>
        <v>0</v>
      </c>
      <c r="J23" s="135" t="n">
        <f aca="true">COUNTIFS('Game History'!A:A,("&gt;"&amp;(TODAY()-548)),'Game History'!G:G,"WFTDA",'Game History'!H:H,"Sanc",'Game History'!I:I,Instructions!A79)+COUNTIFS('Game History'!A:A,("&gt;"&amp;(TODAY()-548)),'Game History'!G:G,"WFTDA",'Game History'!H:H,"Sanc",'Game History'!J:J,Instructions!A79)</f>
        <v>0</v>
      </c>
      <c r="K23" s="139" t="n">
        <f aca="true">COUNTIFS('Game History'!A:A,("&gt;"&amp;(TODAY()-548)),'Game History'!G:G,"WFTDA",'Game History'!H:H,"Reg",'Game History'!I:I,Instructions!A79)+COUNTIFS('Game History'!A:A,("&gt;"&amp;(TODAY()-548)),'Game History'!G:G,"WFTDA",'Game History'!H:H,"Reg",'Game History'!J:J,Instructions!A79)</f>
        <v>0</v>
      </c>
      <c r="L23" s="136" t="n">
        <f aca="false">SUM(I23+J23+K23)</f>
        <v>0</v>
      </c>
      <c r="M23" s="135" t="n">
        <f aca="true">COUNTIFS('Game History'!A:A,("&gt;"&amp;(TODAY()-548)),'Game History'!G:G,"WFTDA",'Game History'!I:I,A23,'Game History'!K:K,"Y")+COUNTIFS('Game History'!A:A,("&gt;"&amp;(TODAY()-548)),'Game History'!G:G,"WFTDA",'Game History'!J:J,A23,'Game History'!K:K,"Y")</f>
        <v>0</v>
      </c>
      <c r="N23" s="126"/>
      <c r="O23" s="126"/>
      <c r="P23" s="126"/>
      <c r="Q23" s="126"/>
      <c r="R23" s="126"/>
      <c r="S23" s="126"/>
      <c r="T23" s="126"/>
    </row>
    <row r="24" customFormat="false" ht="15.75" hidden="false" customHeight="true" outlineLevel="0" collapsed="false">
      <c r="A24" s="84" t="s">
        <v>44</v>
      </c>
      <c r="B24" s="139" t="n">
        <f aca="true">COUNTIFS('Game History'!A:A,("&gt;"&amp;(TODAY()-365)),'Game History'!G:G,"WFTDA",'Game History'!H:H,"Champs",'Game History'!I:I,Instructions!A80)+COUNTIFS('Game History'!A:A,("&gt;"&amp;(TODAY()-365)),'Game History'!G:G,"WFTDA",'Game History'!H:H,"Playoff",'Game History'!I:I,Instructions!A80)+COUNTIFS('Game History'!A:A,("&gt;"&amp;(TODAY()-365)),'Game History'!G:G,"WFTDA",'Game History'!H:H,"Champs",'Game History'!J:J,Instructions!A80)+COUNTIFS('Game History'!A:A,("&gt;"&amp;(TODAY()-365)),'Game History'!G:G,"WFTDA",'Game History'!H:H,"Playoff",'Game History'!J:J,Instructions!A80)</f>
        <v>0</v>
      </c>
      <c r="C24" s="139" t="n">
        <f aca="true">COUNTIFS('Game History'!A:A,("&gt;"&amp;(TODAY()-365)),'Game History'!G:G,"WFTDA",'Game History'!H:H,"Sanc",'Game History'!I:I,Instructions!A80)+COUNTIFS('Game History'!A:A,("&gt;"&amp;(TODAY()-365)),'Game History'!G:G,"WFTDA",'Game History'!H:H,"Sanc",'Game History'!J:J,Instructions!A80)</f>
        <v>0</v>
      </c>
      <c r="D24" s="139" t="n">
        <f aca="true">COUNTIFS('Game History'!A:A,("&gt;"&amp;(TODAY()-365)),'Game History'!G:G,"WFTDA",'Game History'!H:H,"Reg",'Game History'!I:I,Instructions!A80)+COUNTIFS('Game History'!A:A,("&gt;"&amp;(TODAY()-365)),'Game History'!G:G,"WFTDA",'Game History'!H:H,"Reg",'Game History'!J:J,Instructions!A80)</f>
        <v>0</v>
      </c>
      <c r="E24" s="143" t="n">
        <f aca="false">SUM(B24+C24+D24)</f>
        <v>0</v>
      </c>
      <c r="F24" s="135" t="n">
        <f aca="true">COUNTIFS('Game History'!A:A,("&gt;"&amp;(TODAY()-365)),'Game History'!G:G,"WFTDA",'Game History'!I:I,A24,'Game History'!K:K,"Y")+COUNTIFS('Game History'!A:A,("&gt;"&amp;(TODAY()-365)),'Game History'!G:G,"WFTDA",'Game History'!J:J,A24,'Game History'!K:K,"Y")</f>
        <v>0</v>
      </c>
      <c r="G24" s="141"/>
      <c r="H24" s="137" t="s">
        <v>44</v>
      </c>
      <c r="I24" s="139" t="n">
        <f aca="true">COUNTIFS('Game History'!A:A,("&gt;"&amp;(TODAY()-548)),'Game History'!G:G,"WFTDA",'Game History'!H:H,"Champs",'Game History'!I:I,Instructions!A80)+COUNTIFS('Game History'!A:A,("&gt;"&amp;(TODAY()-548)),'Game History'!G:G,"WFTDA",'Game History'!H:H,"Playoff",'Game History'!I:I,Instructions!A80)+COUNTIFS('Game History'!A:A,("&gt;"&amp;(TODAY()-548)),'Game History'!G:G,"WFTDA",'Game History'!H:H,"Champs",'Game History'!J:J,Instructions!A80)+COUNTIFS('Game History'!A:A,("&gt;"&amp;(TODAY()-548)),'Game History'!G:G,"WFTDA",'Game History'!H:H,"Playoff",'Game History'!J:J,Instructions!A80)</f>
        <v>0</v>
      </c>
      <c r="J24" s="135" t="n">
        <f aca="true">COUNTIFS('Game History'!A:A,("&gt;"&amp;(TODAY()-548)),'Game History'!G:G,"WFTDA",'Game History'!H:H,"Sanc",'Game History'!I:I,Instructions!A80)+COUNTIFS('Game History'!A:A,("&gt;"&amp;(TODAY()-548)),'Game History'!G:G,"WFTDA",'Game History'!H:H,"Sanc",'Game History'!J:J,Instructions!A80)</f>
        <v>0</v>
      </c>
      <c r="K24" s="139" t="n">
        <f aca="true">COUNTIFS('Game History'!A:A,("&gt;"&amp;(TODAY()-548)),'Game History'!G:G,"WFTDA",'Game History'!H:H,"Reg",'Game History'!I:I,Instructions!A80)+COUNTIFS('Game History'!A:A,("&gt;"&amp;(TODAY()-548)),'Game History'!G:G,"WFTDA",'Game History'!H:H,"Reg",'Game History'!J:J,Instructions!A80)</f>
        <v>0</v>
      </c>
      <c r="L24" s="143" t="n">
        <f aca="false">SUM(I24+J24+K24)</f>
        <v>0</v>
      </c>
      <c r="M24" s="135" t="n">
        <f aca="true">COUNTIFS('Game History'!A:A,("&gt;"&amp;(TODAY()-548)),'Game History'!G:G,"WFTDA",'Game History'!I:I,A24,'Game History'!K:K,"Y")+COUNTIFS('Game History'!A:A,("&gt;"&amp;(TODAY()-548)),'Game History'!G:G,"WFTDA",'Game History'!J:J,A24,'Game History'!K:K,"Y")</f>
        <v>0</v>
      </c>
      <c r="N24" s="126"/>
      <c r="O24" s="126"/>
      <c r="P24" s="126"/>
      <c r="Q24" s="126"/>
      <c r="R24" s="126"/>
      <c r="S24" s="126"/>
      <c r="T24" s="126"/>
    </row>
    <row r="25" customFormat="false" ht="15.75" hidden="false" customHeight="true" outlineLevel="0" collapsed="false">
      <c r="A25" s="84" t="s">
        <v>47</v>
      </c>
      <c r="B25" s="139" t="n">
        <f aca="true">COUNTIFS('Game History'!A:A,("&gt;"&amp;(TODAY()-365)),'Game History'!G:G,"WFTDA",'Game History'!H:H,"Champs",'Game History'!I:I,Instructions!A81)+COUNTIFS('Game History'!A:A,("&gt;"&amp;(TODAY()-365)),'Game History'!G:G,"WFTDA",'Game History'!H:H,"Playoff",'Game History'!I:I,Instructions!A81)+COUNTIFS('Game History'!A:A,("&gt;"&amp;(TODAY()-365)),'Game History'!G:G,"WFTDA",'Game History'!H:H,"Champs",'Game History'!J:J,Instructions!A81)+COUNTIFS('Game History'!A:A,("&gt;"&amp;(TODAY()-365)),'Game History'!G:G,"WFTDA",'Game History'!H:H,"Playoff",'Game History'!J:J,Instructions!A81)</f>
        <v>0</v>
      </c>
      <c r="C25" s="139" t="n">
        <f aca="true">COUNTIFS('Game History'!A:A,("&gt;"&amp;(TODAY()-365)),'Game History'!G:G,"WFTDA",'Game History'!H:H,"Sanc",'Game History'!I:I,Instructions!A81)+COUNTIFS('Game History'!A:A,("&gt;"&amp;(TODAY()-365)),'Game History'!G:G,"WFTDA",'Game History'!H:H,"Sanc",'Game History'!J:J,Instructions!A81)</f>
        <v>0</v>
      </c>
      <c r="D25" s="139" t="n">
        <f aca="true">COUNTIFS('Game History'!A:A,("&gt;"&amp;(TODAY()-365)),'Game History'!G:G,"WFTDA",'Game History'!H:H,"Reg",'Game History'!I:I,Instructions!A81)+COUNTIFS('Game History'!A:A,("&gt;"&amp;(TODAY()-365)),'Game History'!G:G,"WFTDA",'Game History'!H:H,"Reg",'Game History'!J:J,Instructions!A81)</f>
        <v>0</v>
      </c>
      <c r="E25" s="136" t="n">
        <f aca="false">SUM(B25+C25+D25)</f>
        <v>0</v>
      </c>
      <c r="F25" s="135" t="n">
        <f aca="true">COUNTIFS('Game History'!A:A,("&gt;"&amp;(TODAY()-365)),'Game History'!G:G,"WFTDA",'Game History'!I:I,A25,'Game History'!K:K,"Y")+COUNTIFS('Game History'!A:A,("&gt;"&amp;(TODAY()-365)),'Game History'!G:G,"WFTDA",'Game History'!J:J,A25,'Game History'!K:K,"Y")</f>
        <v>0</v>
      </c>
      <c r="G25" s="141"/>
      <c r="H25" s="137" t="s">
        <v>47</v>
      </c>
      <c r="I25" s="139" t="n">
        <f aca="true">COUNTIFS('Game History'!A:A,("&gt;"&amp;(TODAY()-548)),'Game History'!G:G,"WFTDA",'Game History'!H:H,"Champs",'Game History'!I:I,Instructions!A81)+COUNTIFS('Game History'!A:A,("&gt;"&amp;(TODAY()-548)),'Game History'!G:G,"WFTDA",'Game History'!H:H,"Playoff",'Game History'!I:I,Instructions!A81)+COUNTIFS('Game History'!A:A,("&gt;"&amp;(TODAY()-548)),'Game History'!G:G,"WFTDA",'Game History'!H:H,"Champs",'Game History'!J:J,Instructions!A81)+COUNTIFS('Game History'!A:A,("&gt;"&amp;(TODAY()-548)),'Game History'!G:G,"WFTDA",'Game History'!H:H,"Playoff",'Game History'!J:J,Instructions!A81)</f>
        <v>0</v>
      </c>
      <c r="J25" s="135" t="n">
        <f aca="true">COUNTIFS('Game History'!A:A,("&gt;"&amp;(TODAY()-548)),'Game History'!G:G,"WFTDA",'Game History'!H:H,"Sanc",'Game History'!I:I,Instructions!A81)+COUNTIFS('Game History'!A:A,("&gt;"&amp;(TODAY()-548)),'Game History'!G:G,"WFTDA",'Game History'!H:H,"Sanc",'Game History'!J:J,Instructions!A81)</f>
        <v>0</v>
      </c>
      <c r="K25" s="139" t="n">
        <f aca="true">COUNTIFS('Game History'!A:A,("&gt;"&amp;(TODAY()-548)),'Game History'!G:G,"WFTDA",'Game History'!H:H,"Reg",'Game History'!I:I,Instructions!A81)+COUNTIFS('Game History'!A:A,("&gt;"&amp;(TODAY()-548)),'Game History'!G:G,"WFTDA",'Game History'!H:H,"Reg",'Game History'!J:J,Instructions!A81)</f>
        <v>0</v>
      </c>
      <c r="L25" s="136" t="n">
        <f aca="false">SUM(I25+J25+K25)</f>
        <v>0</v>
      </c>
      <c r="M25" s="135" t="n">
        <f aca="true">COUNTIFS('Game History'!A:A,("&gt;"&amp;(TODAY()-548)),'Game History'!G:G,"WFTDA",'Game History'!I:I,A25,'Game History'!K:K,"Y")+COUNTIFS('Game History'!A:A,("&gt;"&amp;(TODAY()-548)),'Game History'!G:G,"WFTDA",'Game History'!J:J,A25,'Game History'!K:K,"Y")</f>
        <v>0</v>
      </c>
      <c r="N25" s="126"/>
      <c r="O25" s="126"/>
      <c r="P25" s="126"/>
      <c r="Q25" s="126"/>
      <c r="R25" s="126"/>
      <c r="S25" s="126"/>
      <c r="T25" s="126"/>
    </row>
    <row r="26" customFormat="false" ht="15.75" hidden="false" customHeight="true" outlineLevel="0" collapsed="false">
      <c r="A26" s="84" t="s">
        <v>49</v>
      </c>
      <c r="B26" s="139" t="n">
        <f aca="true">COUNTIFS('Game History'!A:A,("&gt;"&amp;(TODAY()-365)),'Game History'!G:G,"WFTDA",'Game History'!H:H,"Champs",'Game History'!I:I,Instructions!A82)+COUNTIFS('Game History'!A:A,("&gt;"&amp;(TODAY()-365)),'Game History'!G:G,"WFTDA",'Game History'!H:H,"Playoff",'Game History'!I:I,Instructions!A82)+COUNTIFS('Game History'!A:A,("&gt;"&amp;(TODAY()-365)),'Game History'!G:G,"WFTDA",'Game History'!H:H,"Champs",'Game History'!J:J,Instructions!A82)+COUNTIFS('Game History'!A:A,("&gt;"&amp;(TODAY()-365)),'Game History'!G:G,"WFTDA",'Game History'!H:H,"Playoff",'Game History'!J:J,Instructions!A82)</f>
        <v>0</v>
      </c>
      <c r="C26" s="139" t="n">
        <f aca="true">COUNTIFS('Game History'!A:A,("&gt;"&amp;(TODAY()-365)),'Game History'!G:G,"WFTDA",'Game History'!H:H,"Sanc",'Game History'!I:I,Instructions!A82)+COUNTIFS('Game History'!A:A,("&gt;"&amp;(TODAY()-365)),'Game History'!G:G,"WFTDA",'Game History'!H:H,"Sanc",'Game History'!J:J,Instructions!A82)</f>
        <v>0</v>
      </c>
      <c r="D26" s="139" t="n">
        <f aca="true">COUNTIFS('Game History'!A:A,("&gt;"&amp;(TODAY()-365)),'Game History'!G:G,"WFTDA",'Game History'!H:H,"Reg",'Game History'!I:I,Instructions!A82)+COUNTIFS('Game History'!A:A,("&gt;"&amp;(TODAY()-365)),'Game History'!G:G,"WFTDA",'Game History'!H:H,"Reg",'Game History'!J:J,Instructions!A82)</f>
        <v>0</v>
      </c>
      <c r="E26" s="136" t="n">
        <f aca="false">SUM(B26+C26+D26)</f>
        <v>0</v>
      </c>
      <c r="F26" s="135" t="n">
        <f aca="true">COUNTIFS('Game History'!A:A,("&gt;"&amp;(TODAY()-365)),'Game History'!G:G,"WFTDA",'Game History'!I:I,A26,'Game History'!K:K,"Y")+COUNTIFS('Game History'!A:A,("&gt;"&amp;(TODAY()-365)),'Game History'!G:G,"WFTDA",'Game History'!J:J,A26,'Game History'!K:K,"Y")</f>
        <v>0</v>
      </c>
      <c r="G26" s="141"/>
      <c r="H26" s="137" t="s">
        <v>49</v>
      </c>
      <c r="I26" s="139" t="n">
        <f aca="true">COUNTIFS('Game History'!A:A,("&gt;"&amp;(TODAY()-548)),'Game History'!G:G,"WFTDA",'Game History'!H:H,"Champs",'Game History'!I:I,Instructions!A82)+COUNTIFS('Game History'!A:A,("&gt;"&amp;(TODAY()-548)),'Game History'!G:G,"WFTDA",'Game History'!H:H,"Playoff",'Game History'!I:I,Instructions!A82)+COUNTIFS('Game History'!A:A,("&gt;"&amp;(TODAY()-548)),'Game History'!G:G,"WFTDA",'Game History'!H:H,"Champs",'Game History'!J:J,Instructions!A82)+COUNTIFS('Game History'!A:A,("&gt;"&amp;(TODAY()-548)),'Game History'!G:G,"WFTDA",'Game History'!H:H,"Playoff",'Game History'!J:J,Instructions!A82)</f>
        <v>0</v>
      </c>
      <c r="J26" s="135" t="n">
        <f aca="true">COUNTIFS('Game History'!A:A,("&gt;"&amp;(TODAY()-548)),'Game History'!G:G,"WFTDA",'Game History'!H:H,"Sanc",'Game History'!I:I,Instructions!A82)+COUNTIFS('Game History'!A:A,("&gt;"&amp;(TODAY()-548)),'Game History'!G:G,"WFTDA",'Game History'!H:H,"Sanc",'Game History'!J:J,Instructions!A82)</f>
        <v>0</v>
      </c>
      <c r="K26" s="139" t="n">
        <f aca="true">COUNTIFS('Game History'!A:A,("&gt;"&amp;(TODAY()-548)),'Game History'!G:G,"WFTDA",'Game History'!H:H,"Reg",'Game History'!I:I,Instructions!A82)+COUNTIFS('Game History'!A:A,("&gt;"&amp;(TODAY()-548)),'Game History'!G:G,"WFTDA",'Game History'!H:H,"Reg",'Game History'!J:J,Instructions!A82)</f>
        <v>0</v>
      </c>
      <c r="L26" s="136" t="n">
        <f aca="false">SUM(I26+J26+K26)</f>
        <v>0</v>
      </c>
      <c r="M26" s="135" t="n">
        <f aca="true">COUNTIFS('Game History'!A:A,("&gt;"&amp;(TODAY()-548)),'Game History'!G:G,"WFTDA",'Game History'!I:I,A26,'Game History'!K:K,"Y")+COUNTIFS('Game History'!A:A,("&gt;"&amp;(TODAY()-548)),'Game History'!G:G,"WFTDA",'Game History'!J:J,A26,'Game History'!K:K,"Y")</f>
        <v>0</v>
      </c>
      <c r="N26" s="126"/>
      <c r="O26" s="126"/>
      <c r="P26" s="126"/>
      <c r="Q26" s="126"/>
      <c r="R26" s="126"/>
      <c r="S26" s="126"/>
      <c r="T26" s="126"/>
    </row>
    <row r="27" customFormat="false" ht="15.75" hidden="false" customHeight="true" outlineLevel="0" collapsed="false">
      <c r="A27" s="84" t="s">
        <v>53</v>
      </c>
      <c r="B27" s="139" t="n">
        <f aca="true">COUNTIFS('Game History'!A:A,("&gt;"&amp;(TODAY()-365)),'Game History'!G:G,"WFTDA",'Game History'!H:H,"Champs",'Game History'!I:I,Instructions!A83)+COUNTIFS('Game History'!A:A,("&gt;"&amp;(TODAY()-365)),'Game History'!G:G,"WFTDA",'Game History'!H:H,"Playoff",'Game History'!I:I,Instructions!A83)+COUNTIFS('Game History'!A:A,("&gt;"&amp;(TODAY()-365)),'Game History'!G:G,"WFTDA",'Game History'!H:H,"Champs",'Game History'!J:J,Instructions!A83)+COUNTIFS('Game History'!A:A,("&gt;"&amp;(TODAY()-365)),'Game History'!G:G,"WFTDA",'Game History'!H:H,"Playoff",'Game History'!J:J,Instructions!A83)</f>
        <v>0</v>
      </c>
      <c r="C27" s="139" t="n">
        <f aca="true">COUNTIFS('Game History'!A:A,("&gt;"&amp;(TODAY()-365)),'Game History'!G:G,"WFTDA",'Game History'!H:H,"Sanc",'Game History'!I:I,Instructions!A83)+COUNTIFS('Game History'!A:A,("&gt;"&amp;(TODAY()-365)),'Game History'!G:G,"WFTDA",'Game History'!H:H,"Sanc",'Game History'!J:J,Instructions!A83)</f>
        <v>0</v>
      </c>
      <c r="D27" s="139" t="n">
        <f aca="true">COUNTIFS('Game History'!A:A,("&gt;"&amp;(TODAY()-365)),'Game History'!G:G,"WFTDA",'Game History'!H:H,"Reg",'Game History'!I:I,Instructions!A83)+COUNTIFS('Game History'!A:A,("&gt;"&amp;(TODAY()-365)),'Game History'!G:G,"WFTDA",'Game History'!H:H,"Reg",'Game History'!J:J,Instructions!A83)</f>
        <v>0</v>
      </c>
      <c r="E27" s="136" t="n">
        <f aca="false">SUM(B27+C27+D27)</f>
        <v>0</v>
      </c>
      <c r="F27" s="135" t="n">
        <f aca="true">COUNTIFS('Game History'!A:A,("&gt;"&amp;(TODAY()-365)),'Game History'!G:G,"WFTDA",'Game History'!I:I,A27,'Game History'!K:K,"Y")+COUNTIFS('Game History'!A:A,("&gt;"&amp;(TODAY()-365)),'Game History'!G:G,"WFTDA",'Game History'!J:J,A27,'Game History'!K:K,"Y")</f>
        <v>0</v>
      </c>
      <c r="G27" s="141"/>
      <c r="H27" s="137" t="s">
        <v>53</v>
      </c>
      <c r="I27" s="139" t="n">
        <f aca="true">COUNTIFS('Game History'!A:A,("&gt;"&amp;(TODAY()-548)),'Game History'!G:G,"WFTDA",'Game History'!H:H,"Champs",'Game History'!I:I,Instructions!A83)+COUNTIFS('Game History'!A:A,("&gt;"&amp;(TODAY()-548)),'Game History'!G:G,"WFTDA",'Game History'!H:H,"Playoff",'Game History'!I:I,Instructions!A83)+COUNTIFS('Game History'!A:A,("&gt;"&amp;(TODAY()-548)),'Game History'!G:G,"WFTDA",'Game History'!H:H,"Champs",'Game History'!J:J,Instructions!A83)+COUNTIFS('Game History'!A:A,("&gt;"&amp;(TODAY()-548)),'Game History'!G:G,"WFTDA",'Game History'!H:H,"Playoff",'Game History'!J:J,Instructions!A83)</f>
        <v>0</v>
      </c>
      <c r="J27" s="135" t="n">
        <f aca="true">COUNTIFS('Game History'!A:A,("&gt;"&amp;(TODAY()-548)),'Game History'!G:G,"WFTDA",'Game History'!H:H,"Sanc",'Game History'!I:I,Instructions!A83)+COUNTIFS('Game History'!A:A,("&gt;"&amp;(TODAY()-548)),'Game History'!G:G,"WFTDA",'Game History'!H:H,"Sanc",'Game History'!J:J,Instructions!A83)</f>
        <v>0</v>
      </c>
      <c r="K27" s="139" t="n">
        <f aca="true">COUNTIFS('Game History'!A:A,("&gt;"&amp;(TODAY()-548)),'Game History'!G:G,"WFTDA",'Game History'!H:H,"Reg",'Game History'!I:I,Instructions!A83)+COUNTIFS('Game History'!A:A,("&gt;"&amp;(TODAY()-548)),'Game History'!G:G,"WFTDA",'Game History'!H:H,"Reg",'Game History'!J:J,Instructions!A83)</f>
        <v>0</v>
      </c>
      <c r="L27" s="136" t="n">
        <f aca="false">SUM(I27+J27+K27)</f>
        <v>0</v>
      </c>
      <c r="M27" s="135" t="n">
        <f aca="true">COUNTIFS('Game History'!A:A,("&gt;"&amp;(TODAY()-548)),'Game History'!G:G,"WFTDA",'Game History'!I:I,A27,'Game History'!K:K,"Y")+COUNTIFS('Game History'!A:A,("&gt;"&amp;(TODAY()-548)),'Game History'!G:G,"WFTDA",'Game History'!J:J,A27,'Game History'!K:K,"Y")</f>
        <v>0</v>
      </c>
      <c r="N27" s="126"/>
      <c r="O27" s="126"/>
      <c r="P27" s="126"/>
      <c r="Q27" s="126"/>
      <c r="R27" s="126"/>
      <c r="S27" s="126"/>
      <c r="T27" s="126"/>
    </row>
    <row r="28" customFormat="false" ht="15.75" hidden="false" customHeight="true" outlineLevel="0" collapsed="false">
      <c r="A28" s="84" t="s">
        <v>57</v>
      </c>
      <c r="B28" s="139" t="n">
        <f aca="true">COUNTIFS('Game History'!A:A,("&gt;"&amp;(TODAY()-365)),'Game History'!G:G,"WFTDA",'Game History'!H:H,"Champs",'Game History'!I:I,Instructions!A84)+COUNTIFS('Game History'!A:A,("&gt;"&amp;(TODAY()-365)),'Game History'!G:G,"WFTDA",'Game History'!H:H,"Playoff",'Game History'!I:I,Instructions!A84)+COUNTIFS('Game History'!A:A,("&gt;"&amp;(TODAY()-365)),'Game History'!G:G,"WFTDA",'Game History'!H:H,"Champs",'Game History'!J:J,Instructions!A84)+COUNTIFS('Game History'!A:A,("&gt;"&amp;(TODAY()-365)),'Game History'!G:G,"WFTDA",'Game History'!H:H,"Playoff",'Game History'!J:J,Instructions!A84)</f>
        <v>0</v>
      </c>
      <c r="C28" s="139" t="n">
        <f aca="true">COUNTIFS('Game History'!A:A,("&gt;"&amp;(TODAY()-365)),'Game History'!G:G,"WFTDA",'Game History'!H:H,"Sanc",'Game History'!I:I,Instructions!A84)+COUNTIFS('Game History'!A:A,("&gt;"&amp;(TODAY()-365)),'Game History'!G:G,"WFTDA",'Game History'!H:H,"Sanc",'Game History'!J:J,Instructions!A84)</f>
        <v>0</v>
      </c>
      <c r="D28" s="139" t="n">
        <f aca="true">COUNTIFS('Game History'!A:A,("&gt;"&amp;(TODAY()-365)),'Game History'!G:G,"WFTDA",'Game History'!H:H,"Reg",'Game History'!I:I,Instructions!A84)+COUNTIFS('Game History'!A:A,("&gt;"&amp;(TODAY()-365)),'Game History'!G:G,"WFTDA",'Game History'!H:H,"Reg",'Game History'!J:J,Instructions!A84)</f>
        <v>0</v>
      </c>
      <c r="E28" s="136" t="n">
        <f aca="false">SUM(B28+C28+D28)</f>
        <v>0</v>
      </c>
      <c r="F28" s="135" t="n">
        <f aca="true">COUNTIFS('Game History'!A:A,("&gt;"&amp;(TODAY()-365)),'Game History'!G:G,"WFTDA",'Game History'!I:I,A28,'Game History'!K:K,"Y")+COUNTIFS('Game History'!A:A,("&gt;"&amp;(TODAY()-365)),'Game History'!G:G,"WFTDA",'Game History'!J:J,A28,'Game History'!K:K,"Y")</f>
        <v>0</v>
      </c>
      <c r="G28" s="141"/>
      <c r="H28" s="137" t="s">
        <v>57</v>
      </c>
      <c r="I28" s="139" t="n">
        <f aca="true">COUNTIFS('Game History'!A:A,("&gt;"&amp;(TODAY()-548)),'Game History'!G:G,"WFTDA",'Game History'!H:H,"Champs",'Game History'!I:I,Instructions!A84)+COUNTIFS('Game History'!A:A,("&gt;"&amp;(TODAY()-548)),'Game History'!G:G,"WFTDA",'Game History'!H:H,"Playoff",'Game History'!I:I,Instructions!A84)+COUNTIFS('Game History'!A:A,("&gt;"&amp;(TODAY()-548)),'Game History'!G:G,"WFTDA",'Game History'!H:H,"Champs",'Game History'!J:J,Instructions!A84)+COUNTIFS('Game History'!A:A,("&gt;"&amp;(TODAY()-548)),'Game History'!G:G,"WFTDA",'Game History'!H:H,"Playoff",'Game History'!J:J,Instructions!A84)</f>
        <v>0</v>
      </c>
      <c r="J28" s="135" t="n">
        <f aca="true">COUNTIFS('Game History'!A:A,("&gt;"&amp;(TODAY()-548)),'Game History'!G:G,"WFTDA",'Game History'!H:H,"Sanc",'Game History'!I:I,Instructions!A84)+COUNTIFS('Game History'!A:A,("&gt;"&amp;(TODAY()-548)),'Game History'!G:G,"WFTDA",'Game History'!H:H,"Sanc",'Game History'!J:J,Instructions!A84)</f>
        <v>0</v>
      </c>
      <c r="K28" s="139" t="n">
        <f aca="true">COUNTIFS('Game History'!A:A,("&gt;"&amp;(TODAY()-548)),'Game History'!G:G,"WFTDA",'Game History'!H:H,"Reg",'Game History'!I:I,Instructions!A84)+COUNTIFS('Game History'!A:A,("&gt;"&amp;(TODAY()-548)),'Game History'!G:G,"WFTDA",'Game History'!H:H,"Reg",'Game History'!J:J,Instructions!A84)</f>
        <v>0</v>
      </c>
      <c r="L28" s="136" t="n">
        <f aca="false">SUM(I28+J28+K28)</f>
        <v>0</v>
      </c>
      <c r="M28" s="135" t="n">
        <f aca="true">COUNTIFS('Game History'!A:A,("&gt;"&amp;(TODAY()-548)),'Game History'!G:G,"WFTDA",'Game History'!I:I,A28,'Game History'!K:K,"Y")+COUNTIFS('Game History'!A:A,("&gt;"&amp;(TODAY()-548)),'Game History'!G:G,"WFTDA",'Game History'!J:J,A28,'Game History'!K:K,"Y")</f>
        <v>0</v>
      </c>
      <c r="N28" s="126"/>
      <c r="O28" s="126"/>
      <c r="P28" s="126"/>
      <c r="Q28" s="126"/>
      <c r="R28" s="126"/>
      <c r="S28" s="126"/>
      <c r="T28" s="126"/>
    </row>
    <row r="29" customFormat="false" ht="15.75" hidden="false" customHeight="true" outlineLevel="0" collapsed="false">
      <c r="A29" s="84" t="s">
        <v>61</v>
      </c>
      <c r="B29" s="139" t="n">
        <f aca="true">COUNTIFS('Game History'!A:A,("&gt;"&amp;(TODAY()-365)),'Game History'!G:G,"WFTDA",'Game History'!H:H,"Champs",'Game History'!I:I,Instructions!A85)+COUNTIFS('Game History'!A:A,("&gt;"&amp;(TODAY()-365)),'Game History'!G:G,"WFTDA",'Game History'!H:H,"Playoff",'Game History'!I:I,Instructions!A85)+COUNTIFS('Game History'!A:A,("&gt;"&amp;(TODAY()-365)),'Game History'!G:G,"WFTDA",'Game History'!H:H,"Champs",'Game History'!J:J,Instructions!A85)+COUNTIFS('Game History'!A:A,("&gt;"&amp;(TODAY()-365)),'Game History'!G:G,"WFTDA",'Game History'!H:H,"Playoff",'Game History'!J:J,Instructions!A85)</f>
        <v>0</v>
      </c>
      <c r="C29" s="139" t="n">
        <f aca="true">COUNTIFS('Game History'!A:A,("&gt;"&amp;(TODAY()-365)),'Game History'!G:G,"WFTDA",'Game History'!H:H,"Sanc",'Game History'!I:I,Instructions!A85)+COUNTIFS('Game History'!A:A,("&gt;"&amp;(TODAY()-365)),'Game History'!G:G,"WFTDA",'Game History'!H:H,"Sanc",'Game History'!J:J,Instructions!A85)</f>
        <v>0</v>
      </c>
      <c r="D29" s="139" t="n">
        <f aca="true">COUNTIFS('Game History'!A:A,("&gt;"&amp;(TODAY()-365)),'Game History'!G:G,"WFTDA",'Game History'!H:H,"Reg",'Game History'!I:I,Instructions!A85)+COUNTIFS('Game History'!A:A,("&gt;"&amp;(TODAY()-365)),'Game History'!G:G,"WFTDA",'Game History'!H:H,"Reg",'Game History'!J:J,Instructions!A85)</f>
        <v>0</v>
      </c>
      <c r="E29" s="136" t="n">
        <f aca="false">SUM(B29+C29+D29)</f>
        <v>0</v>
      </c>
      <c r="F29" s="135" t="n">
        <f aca="true">COUNTIFS('Game History'!A:A,("&gt;"&amp;(TODAY()-365)),'Game History'!G:G,"WFTDA",'Game History'!I:I,A29,'Game History'!K:K,"Y")+COUNTIFS('Game History'!A:A,("&gt;"&amp;(TODAY()-365)),'Game History'!G:G,"WFTDA",'Game History'!J:J,A29,'Game History'!K:K,"Y")</f>
        <v>0</v>
      </c>
      <c r="G29" s="141"/>
      <c r="H29" s="137" t="s">
        <v>61</v>
      </c>
      <c r="I29" s="139" t="n">
        <f aca="true">COUNTIFS('Game History'!A:A,("&gt;"&amp;(TODAY()-548)),'Game History'!G:G,"WFTDA",'Game History'!H:H,"Champs",'Game History'!I:I,Instructions!A85)+COUNTIFS('Game History'!A:A,("&gt;"&amp;(TODAY()-548)),'Game History'!G:G,"WFTDA",'Game History'!H:H,"Playoff",'Game History'!I:I,Instructions!A85)+COUNTIFS('Game History'!A:A,("&gt;"&amp;(TODAY()-548)),'Game History'!G:G,"WFTDA",'Game History'!H:H,"Champs",'Game History'!J:J,Instructions!A85)+COUNTIFS('Game History'!A:A,("&gt;"&amp;(TODAY()-548)),'Game History'!G:G,"WFTDA",'Game History'!H:H,"Playoff",'Game History'!J:J,Instructions!A85)</f>
        <v>0</v>
      </c>
      <c r="J29" s="135" t="n">
        <f aca="true">COUNTIFS('Game History'!A:A,("&gt;"&amp;(TODAY()-548)),'Game History'!G:G,"WFTDA",'Game History'!H:H,"Sanc",'Game History'!I:I,Instructions!A85)+COUNTIFS('Game History'!A:A,("&gt;"&amp;(TODAY()-548)),'Game History'!G:G,"WFTDA",'Game History'!H:H,"Sanc",'Game History'!J:J,Instructions!A85)</f>
        <v>0</v>
      </c>
      <c r="K29" s="139" t="n">
        <f aca="true">COUNTIFS('Game History'!A:A,("&gt;"&amp;(TODAY()-548)),'Game History'!G:G,"WFTDA",'Game History'!H:H,"Reg",'Game History'!I:I,Instructions!A85)+COUNTIFS('Game History'!A:A,("&gt;"&amp;(TODAY()-548)),'Game History'!G:G,"WFTDA",'Game History'!H:H,"Reg",'Game History'!J:J,Instructions!A85)</f>
        <v>0</v>
      </c>
      <c r="L29" s="136" t="n">
        <f aca="false">SUM(I29+J29+K29)</f>
        <v>0</v>
      </c>
      <c r="M29" s="135" t="n">
        <f aca="true">COUNTIFS('Game History'!A:A,("&gt;"&amp;(TODAY()-548)),'Game History'!G:G,"WFTDA",'Game History'!I:I,A29,'Game History'!K:K,"Y")+COUNTIFS('Game History'!A:A,("&gt;"&amp;(TODAY()-548)),'Game History'!G:G,"WFTDA",'Game History'!J:J,A29,'Game History'!K:K,"Y")</f>
        <v>0</v>
      </c>
      <c r="N29" s="126"/>
      <c r="O29" s="126"/>
      <c r="P29" s="126"/>
      <c r="Q29" s="126"/>
      <c r="R29" s="126"/>
      <c r="S29" s="126"/>
      <c r="T29" s="126"/>
    </row>
    <row r="30" customFormat="false" ht="15.75" hidden="false" customHeight="true" outlineLevel="0" collapsed="false">
      <c r="A30" s="84" t="s">
        <v>65</v>
      </c>
      <c r="B30" s="139" t="n">
        <f aca="true">COUNTIFS('Game History'!A:A,("&gt;"&amp;(TODAY()-365)),'Game History'!G:G,"WFTDA",'Game History'!H:H,"Champs",'Game History'!I:I,Instructions!A86)+COUNTIFS('Game History'!A:A,("&gt;"&amp;(TODAY()-365)),'Game History'!G:G,"WFTDA",'Game History'!H:H,"Playoff",'Game History'!I:I,Instructions!A86)+COUNTIFS('Game History'!A:A,("&gt;"&amp;(TODAY()-365)),'Game History'!G:G,"WFTDA",'Game History'!H:H,"Champs",'Game History'!J:J,Instructions!A86)+COUNTIFS('Game History'!A:A,("&gt;"&amp;(TODAY()-365)),'Game History'!G:G,"WFTDA",'Game History'!H:H,"Playoff",'Game History'!J:J,Instructions!A86)</f>
        <v>0</v>
      </c>
      <c r="C30" s="139" t="n">
        <f aca="true">COUNTIFS('Game History'!A:A,("&gt;"&amp;(TODAY()-365)),'Game History'!G:G,"WFTDA",'Game History'!H:H,"Sanc",'Game History'!I:I,Instructions!A86)+COUNTIFS('Game History'!A:A,("&gt;"&amp;(TODAY()-365)),'Game History'!G:G,"WFTDA",'Game History'!H:H,"Sanc",'Game History'!J:J,Instructions!A86)</f>
        <v>0</v>
      </c>
      <c r="D30" s="139" t="n">
        <f aca="true">COUNTIFS('Game History'!A:A,("&gt;"&amp;(TODAY()-365)),'Game History'!G:G,"WFTDA",'Game History'!H:H,"Reg",'Game History'!I:I,Instructions!A86)+COUNTIFS('Game History'!A:A,("&gt;"&amp;(TODAY()-365)),'Game History'!G:G,"WFTDA",'Game History'!H:H,"Reg",'Game History'!J:J,Instructions!A86)</f>
        <v>0</v>
      </c>
      <c r="E30" s="136" t="n">
        <f aca="false">SUM(B30+C30+D30)</f>
        <v>0</v>
      </c>
      <c r="F30" s="135" t="n">
        <f aca="true">COUNTIFS('Game History'!A:A,("&gt;"&amp;(TODAY()-365)),'Game History'!G:G,"WFTDA",'Game History'!I:I,A30,'Game History'!K:K,"Y")+COUNTIFS('Game History'!A:A,("&gt;"&amp;(TODAY()-365)),'Game History'!G:G,"WFTDA",'Game History'!J:J,A30,'Game History'!K:K,"Y")</f>
        <v>0</v>
      </c>
      <c r="G30" s="141"/>
      <c r="H30" s="137" t="s">
        <v>65</v>
      </c>
      <c r="I30" s="139" t="n">
        <f aca="true">COUNTIFS('Game History'!A:A,("&gt;"&amp;(TODAY()-548)),'Game History'!G:G,"WFTDA",'Game History'!H:H,"Champs",'Game History'!I:I,Instructions!A86)+COUNTIFS('Game History'!A:A,("&gt;"&amp;(TODAY()-548)),'Game History'!G:G,"WFTDA",'Game History'!H:H,"Playoff",'Game History'!I:I,Instructions!A86)+COUNTIFS('Game History'!A:A,("&gt;"&amp;(TODAY()-548)),'Game History'!G:G,"WFTDA",'Game History'!H:H,"Champs",'Game History'!J:J,Instructions!A86)+COUNTIFS('Game History'!A:A,("&gt;"&amp;(TODAY()-548)),'Game History'!G:G,"WFTDA",'Game History'!H:H,"Playoff",'Game History'!J:J,Instructions!A86)</f>
        <v>0</v>
      </c>
      <c r="J30" s="135" t="n">
        <f aca="true">COUNTIFS('Game History'!A:A,("&gt;"&amp;(TODAY()-548)),'Game History'!G:G,"WFTDA",'Game History'!H:H,"Sanc",'Game History'!I:I,Instructions!A86)+COUNTIFS('Game History'!A:A,("&gt;"&amp;(TODAY()-548)),'Game History'!G:G,"WFTDA",'Game History'!H:H,"Sanc",'Game History'!J:J,Instructions!A86)</f>
        <v>0</v>
      </c>
      <c r="K30" s="139" t="n">
        <f aca="true">COUNTIFS('Game History'!A:A,("&gt;"&amp;(TODAY()-548)),'Game History'!G:G,"WFTDA",'Game History'!H:H,"Reg",'Game History'!I:I,Instructions!A86)+COUNTIFS('Game History'!A:A,("&gt;"&amp;(TODAY()-548)),'Game History'!G:G,"WFTDA",'Game History'!H:H,"Reg",'Game History'!J:J,Instructions!A86)</f>
        <v>0</v>
      </c>
      <c r="L30" s="136" t="n">
        <f aca="false">SUM(I30+J30+K30)</f>
        <v>0</v>
      </c>
      <c r="M30" s="135" t="n">
        <f aca="true">COUNTIFS('Game History'!A:A,("&gt;"&amp;(TODAY()-548)),'Game History'!G:G,"WFTDA",'Game History'!I:I,A30,'Game History'!K:K,"Y")+COUNTIFS('Game History'!A:A,("&gt;"&amp;(TODAY()-548)),'Game History'!G:G,"WFTDA",'Game History'!J:J,A30,'Game History'!K:K,"Y")</f>
        <v>0</v>
      </c>
      <c r="N30" s="126"/>
      <c r="O30" s="126"/>
      <c r="P30" s="126"/>
      <c r="Q30" s="126"/>
      <c r="R30" s="126"/>
      <c r="S30" s="126"/>
      <c r="T30" s="126"/>
    </row>
    <row r="31" customFormat="false" ht="15.75" hidden="false" customHeight="true" outlineLevel="0" collapsed="false">
      <c r="A31" s="84" t="s">
        <v>304</v>
      </c>
      <c r="B31" s="139" t="n">
        <f aca="true">COUNTIFS('Game History'!A:A,("&gt;"&amp;(TODAY()-365)),'Game History'!G:G,"WFTDA",'Game History'!H:H,"Champs",'Game History'!I:I,Instructions!A88)+COUNTIFS('Game History'!A:A,("&gt;"&amp;(TODAY()-365)),'Game History'!G:G,"WFTDA",'Game History'!H:H,"Playoff",'Game History'!I:I,Instructions!A88)</f>
        <v>0</v>
      </c>
      <c r="C31" s="135" t="n">
        <f aca="true">COUNTIFS('Game History'!A:A,("&gt;"&amp;(TODAY()-365)),'Game History'!G:G,"WFTDA",'Game History'!H:H,"Sanc",'Game History'!I:I,Instructions!A88)</f>
        <v>0</v>
      </c>
      <c r="D31" s="139" t="n">
        <f aca="true">COUNTIFS('Game History'!A:A,("&gt;"&amp;(TODAY()-365)),'Game History'!G:G,"WFTDA",'Game History'!H:H,"Reg",'Game History'!I:I,Instructions!A88)</f>
        <v>0</v>
      </c>
      <c r="E31" s="136" t="n">
        <f aca="false">SUM(B31+C31+D31)</f>
        <v>0</v>
      </c>
      <c r="F31" s="74"/>
      <c r="G31" s="141"/>
      <c r="H31" s="137" t="s">
        <v>304</v>
      </c>
      <c r="I31" s="139" t="n">
        <f aca="true">COUNTIFS('Game History'!A:A,("&gt;"&amp;(TODAY()-548)),'Game History'!G:G,"WFTDA",'Game History'!H:H,"Champs",'Game History'!I:I,Instructions!A88)+COUNTIFS('Game History'!A:A,("&gt;"&amp;(TODAY()-548)),'Game History'!G:G,"WFTDA",'Game History'!H:H,"Playoff",'Game History'!I:I,Instructions!A88)</f>
        <v>0</v>
      </c>
      <c r="J31" s="135" t="n">
        <f aca="true">COUNTIFS('Game History'!A:A,("&gt;"&amp;(TODAY()-548)),'Game History'!G:G,"WFTDA",'Game History'!H:H,"Sanc",'Game History'!I:I,Instructions!A88)</f>
        <v>0</v>
      </c>
      <c r="K31" s="139" t="n">
        <f aca="true">COUNTIFS('Game History'!A:A,("&gt;"&amp;(TODAY()-548)),'Game History'!G:G,"WFTDA",'Game History'!H:H,"Reg",'Game History'!I:I,Instructions!A88)</f>
        <v>0</v>
      </c>
      <c r="L31" s="136" t="n">
        <f aca="false">SUM(I31+J31+K31)</f>
        <v>0</v>
      </c>
      <c r="M31" s="144"/>
      <c r="N31" s="126"/>
      <c r="O31" s="126"/>
      <c r="P31" s="126"/>
      <c r="Q31" s="126"/>
      <c r="R31" s="126"/>
      <c r="S31" s="126"/>
      <c r="T31" s="126"/>
    </row>
    <row r="32" customFormat="false" ht="15.75" hidden="false" customHeight="true" outlineLevel="0" collapsed="false">
      <c r="A32" s="84" t="s">
        <v>305</v>
      </c>
      <c r="B32" s="136" t="n">
        <f aca="false">SUM(B18:B31)</f>
        <v>0</v>
      </c>
      <c r="C32" s="140" t="n">
        <f aca="false">SUM(C18:C31)</f>
        <v>0</v>
      </c>
      <c r="D32" s="136" t="n">
        <f aca="false">SUM(D18:D31)</f>
        <v>0</v>
      </c>
      <c r="E32" s="136" t="n">
        <f aca="false">SUM(E18:E31)</f>
        <v>0</v>
      </c>
      <c r="F32" s="140" t="n">
        <f aca="false">SUM(F21:F30)</f>
        <v>0</v>
      </c>
      <c r="G32" s="131"/>
      <c r="H32" s="137" t="s">
        <v>305</v>
      </c>
      <c r="I32" s="136" t="n">
        <f aca="false">SUM(I18:I31)</f>
        <v>0</v>
      </c>
      <c r="J32" s="143" t="n">
        <f aca="false">SUM(J18:J31)</f>
        <v>0</v>
      </c>
      <c r="K32" s="136" t="n">
        <f aca="false">SUM(K18:K31)</f>
        <v>0</v>
      </c>
      <c r="L32" s="136" t="n">
        <f aca="false">SUM(L18:L31)</f>
        <v>0</v>
      </c>
      <c r="M32" s="136" t="n">
        <f aca="false">SUM(M21:M30)</f>
        <v>0</v>
      </c>
      <c r="N32" s="126"/>
      <c r="O32" s="126"/>
      <c r="P32" s="126"/>
      <c r="Q32" s="126"/>
      <c r="R32" s="126"/>
      <c r="S32" s="126"/>
      <c r="T32" s="126"/>
    </row>
    <row r="33" customFormat="false" ht="15.75" hidden="false" customHeight="true" outlineLevel="0" collapsed="false">
      <c r="A33" s="128"/>
      <c r="B33" s="128"/>
      <c r="C33" s="128"/>
      <c r="D33" s="128"/>
      <c r="E33" s="128"/>
      <c r="F33" s="129"/>
      <c r="G33" s="126"/>
      <c r="H33" s="128"/>
      <c r="I33" s="128"/>
      <c r="J33" s="128"/>
      <c r="K33" s="128"/>
      <c r="L33" s="129"/>
      <c r="M33" s="129"/>
      <c r="N33" s="126"/>
      <c r="O33" s="126"/>
      <c r="P33" s="126"/>
      <c r="Q33" s="126"/>
      <c r="R33" s="126"/>
      <c r="S33" s="126"/>
      <c r="T33" s="126"/>
    </row>
    <row r="34" customFormat="false" ht="15.75" hidden="false" customHeight="true" outlineLevel="0" collapsed="false">
      <c r="A34" s="130" t="s">
        <v>308</v>
      </c>
      <c r="B34" s="130"/>
      <c r="C34" s="130"/>
      <c r="D34" s="130"/>
      <c r="E34" s="130"/>
      <c r="F34" s="145"/>
      <c r="G34" s="131"/>
      <c r="H34" s="146" t="s">
        <v>309</v>
      </c>
      <c r="I34" s="146"/>
      <c r="J34" s="146"/>
      <c r="K34" s="146"/>
      <c r="L34" s="146"/>
      <c r="M34" s="126"/>
      <c r="N34" s="126"/>
      <c r="O34" s="126"/>
      <c r="P34" s="126"/>
      <c r="Q34" s="126"/>
      <c r="R34" s="126"/>
      <c r="S34" s="126"/>
      <c r="T34" s="126"/>
    </row>
    <row r="35" customFormat="false" ht="15.75" hidden="false" customHeight="true" outlineLevel="0" collapsed="false">
      <c r="A35" s="147" t="s">
        <v>28</v>
      </c>
      <c r="B35" s="147"/>
      <c r="C35" s="147"/>
      <c r="D35" s="139" t="n">
        <f aca="false">SUM(E18:E20)</f>
        <v>0</v>
      </c>
      <c r="E35" s="139"/>
      <c r="F35" s="145"/>
      <c r="G35" s="131"/>
      <c r="H35" s="148" t="s">
        <v>28</v>
      </c>
      <c r="I35" s="148"/>
      <c r="J35" s="148"/>
      <c r="K35" s="149" t="n">
        <f aca="false">SUM(L18:L20)</f>
        <v>0</v>
      </c>
      <c r="L35" s="149"/>
      <c r="M35" s="126"/>
      <c r="N35" s="126"/>
      <c r="O35" s="126"/>
      <c r="P35" s="126"/>
      <c r="Q35" s="126"/>
      <c r="R35" s="126"/>
      <c r="S35" s="126"/>
      <c r="T35" s="126"/>
    </row>
    <row r="36" customFormat="false" ht="15.75" hidden="false" customHeight="true" outlineLevel="0" collapsed="false">
      <c r="A36" s="147" t="s">
        <v>310</v>
      </c>
      <c r="B36" s="147"/>
      <c r="C36" s="147"/>
      <c r="D36" s="139" t="n">
        <f aca="false">SUM(E21:E24)</f>
        <v>0</v>
      </c>
      <c r="E36" s="139"/>
      <c r="F36" s="145"/>
      <c r="G36" s="131"/>
      <c r="H36" s="148" t="s">
        <v>310</v>
      </c>
      <c r="I36" s="148"/>
      <c r="J36" s="148"/>
      <c r="K36" s="150" t="n">
        <f aca="false">SUM(L21:L24)</f>
        <v>0</v>
      </c>
      <c r="L36" s="150"/>
      <c r="M36" s="126"/>
      <c r="N36" s="126"/>
      <c r="O36" s="126"/>
      <c r="P36" s="126"/>
      <c r="Q36" s="126"/>
      <c r="R36" s="126"/>
      <c r="S36" s="126"/>
      <c r="T36" s="126"/>
    </row>
    <row r="37" customFormat="false" ht="15.75" hidden="false" customHeight="true" outlineLevel="0" collapsed="false">
      <c r="A37" s="147" t="s">
        <v>311</v>
      </c>
      <c r="B37" s="147"/>
      <c r="C37" s="147"/>
      <c r="D37" s="139" t="n">
        <f aca="false">SUM(E25:E27)</f>
        <v>0</v>
      </c>
      <c r="E37" s="139"/>
      <c r="F37" s="145"/>
      <c r="G37" s="131"/>
      <c r="H37" s="148" t="s">
        <v>311</v>
      </c>
      <c r="I37" s="148"/>
      <c r="J37" s="148"/>
      <c r="K37" s="150" t="n">
        <f aca="false">SUM(L25:L27)</f>
        <v>0</v>
      </c>
      <c r="L37" s="150"/>
      <c r="M37" s="126"/>
      <c r="N37" s="126"/>
      <c r="O37" s="126"/>
      <c r="P37" s="126"/>
      <c r="Q37" s="126"/>
      <c r="R37" s="126"/>
      <c r="S37" s="126"/>
      <c r="T37" s="126"/>
    </row>
    <row r="38" customFormat="false" ht="15.75" hidden="false" customHeight="true" outlineLevel="0" collapsed="false">
      <c r="A38" s="147" t="s">
        <v>312</v>
      </c>
      <c r="B38" s="147"/>
      <c r="C38" s="147"/>
      <c r="D38" s="139" t="n">
        <f aca="false">SUM(E28:E30)</f>
        <v>0</v>
      </c>
      <c r="E38" s="139"/>
      <c r="F38" s="145"/>
      <c r="G38" s="131"/>
      <c r="H38" s="148" t="s">
        <v>312</v>
      </c>
      <c r="I38" s="148"/>
      <c r="J38" s="148"/>
      <c r="K38" s="150" t="n">
        <f aca="false">SUM(L28:L30)</f>
        <v>0</v>
      </c>
      <c r="L38" s="150"/>
      <c r="M38" s="126"/>
      <c r="N38" s="126"/>
      <c r="O38" s="126"/>
      <c r="P38" s="126"/>
      <c r="Q38" s="126"/>
      <c r="R38" s="126"/>
      <c r="S38" s="126"/>
      <c r="T38" s="126"/>
    </row>
    <row r="39" customFormat="false" ht="15.75" hidden="false" customHeight="true" outlineLevel="0" collapsed="false">
      <c r="A39" s="129"/>
      <c r="B39" s="129"/>
      <c r="C39" s="129"/>
      <c r="D39" s="129"/>
      <c r="E39" s="129"/>
      <c r="F39" s="126"/>
      <c r="G39" s="126"/>
      <c r="H39" s="129"/>
      <c r="I39" s="129"/>
      <c r="J39" s="129"/>
      <c r="K39" s="129"/>
      <c r="L39" s="126"/>
      <c r="M39" s="126"/>
      <c r="N39" s="126"/>
      <c r="O39" s="126"/>
      <c r="P39" s="126"/>
      <c r="Q39" s="126"/>
      <c r="R39" s="126"/>
      <c r="S39" s="126"/>
      <c r="T39" s="126"/>
    </row>
    <row r="40" customFormat="false" ht="15.75" hidden="false" customHeight="true" outlineLevel="0" collapsed="false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</row>
    <row r="41" customFormat="false" ht="15.75" hidden="false" customHeight="true" outlineLevel="0" collapsed="false">
      <c r="A41" s="127" t="s">
        <v>313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6"/>
      <c r="O41" s="126"/>
      <c r="P41" s="126"/>
      <c r="Q41" s="126"/>
      <c r="R41" s="126"/>
      <c r="S41" s="126"/>
      <c r="T41" s="126"/>
    </row>
    <row r="42" customFormat="false" ht="15.75" hidden="false" customHeight="true" outlineLevel="0" collapsed="false">
      <c r="A42" s="128"/>
      <c r="B42" s="128"/>
      <c r="C42" s="128"/>
      <c r="D42" s="128"/>
      <c r="E42" s="128"/>
      <c r="F42" s="129"/>
      <c r="G42" s="129"/>
      <c r="H42" s="128"/>
      <c r="I42" s="128"/>
      <c r="J42" s="128"/>
      <c r="K42" s="128"/>
      <c r="L42" s="128"/>
      <c r="M42" s="129"/>
      <c r="N42" s="126"/>
      <c r="O42" s="126"/>
      <c r="P42" s="126"/>
      <c r="Q42" s="126"/>
      <c r="R42" s="126"/>
      <c r="S42" s="126"/>
      <c r="T42" s="126"/>
    </row>
    <row r="43" customFormat="false" ht="15.75" hidden="false" customHeight="true" outlineLevel="0" collapsed="false">
      <c r="A43" s="151" t="s">
        <v>301</v>
      </c>
      <c r="B43" s="152" t="s">
        <v>20</v>
      </c>
      <c r="C43" s="152" t="s">
        <v>21</v>
      </c>
      <c r="D43" s="152" t="s">
        <v>22</v>
      </c>
      <c r="E43" s="152" t="s">
        <v>302</v>
      </c>
      <c r="F43" s="153"/>
      <c r="G43" s="131"/>
      <c r="H43" s="154" t="s">
        <v>314</v>
      </c>
      <c r="I43" s="155" t="s">
        <v>20</v>
      </c>
      <c r="J43" s="155" t="s">
        <v>21</v>
      </c>
      <c r="K43" s="155" t="s">
        <v>22</v>
      </c>
      <c r="L43" s="156" t="s">
        <v>302</v>
      </c>
      <c r="M43" s="153"/>
      <c r="N43" s="126"/>
      <c r="O43" s="126"/>
      <c r="P43" s="126"/>
      <c r="Q43" s="126"/>
      <c r="R43" s="126"/>
      <c r="S43" s="126"/>
      <c r="T43" s="126"/>
    </row>
    <row r="44" customFormat="false" ht="15.75" hidden="false" customHeight="true" outlineLevel="0" collapsed="false">
      <c r="A44" s="157" t="s">
        <v>51</v>
      </c>
      <c r="B44" s="135" t="n">
        <f aca="true">COUNTIFS('Game History'!A:A,("&gt;"&amp;(TODAY()-365)),'Game History'!G:G,"MRDA",'Game History'!H:H,"Champs",'Game History'!I:I,Instructions!A68)+COUNTIFS('Game History'!A:A,("&gt;"&amp;(TODAY()-365)),'Game History'!G:G,"MRDA",'Game History'!H:H,"Playoff",'Game History'!I:I,Instructions!A68)</f>
        <v>0</v>
      </c>
      <c r="C44" s="135" t="n">
        <f aca="true">COUNTIFS('Game History'!A:A,("&gt;"&amp;(TODAY()-365)),'Game History'!G:G,"MRDA",'Game History'!H:H,"Sanc",'Game History'!I:I,Instructions!A68)</f>
        <v>0</v>
      </c>
      <c r="D44" s="135" t="n">
        <f aca="true">COUNTIFS('Game History'!A:A,("&gt;"&amp;(TODAY()-365)),'Game History'!G:G,"MRDA",'Game History'!H:H,"Reg",'Game History'!I:I,Instructions!A68)</f>
        <v>0</v>
      </c>
      <c r="E44" s="136" t="n">
        <f aca="false">SUM(B44,C44,D44)</f>
        <v>0</v>
      </c>
      <c r="F44" s="126"/>
      <c r="G44" s="131"/>
      <c r="H44" s="158" t="s">
        <v>51</v>
      </c>
      <c r="I44" s="135" t="n">
        <f aca="true">COUNTIFS('Game History'!A:A,("&gt;"&amp;(TODAY()-548)),'Game History'!G:G,"MRDA",'Game History'!H:H,"Champs",'Game History'!I:I,Instructions!A68)+COUNTIFS('Game History'!A:A,("&gt;"&amp;(TODAY()-548)),'Game History'!G:G,"MRDA",'Game History'!H:H,"Playoff",'Game History'!I:I,Instructions!A68)</f>
        <v>0</v>
      </c>
      <c r="J44" s="135" t="n">
        <f aca="true">COUNTIFS('Game History'!A:A,("&gt;"&amp;(TODAY()-548)),'Game History'!G:G,"MRDA",'Game History'!H:H,"Sanc",'Game History'!I:I,Instructions!A68)</f>
        <v>0</v>
      </c>
      <c r="K44" s="135" t="n">
        <f aca="true">COUNTIFS('Game History'!A:A,("&gt;"&amp;(TODAY()-548)),'Game History'!G:G,"MRDA",'Game History'!H:H,"Reg",'Game History'!I:I,Instructions!A68)</f>
        <v>0</v>
      </c>
      <c r="L44" s="136" t="n">
        <f aca="false">SUM(I44,J44,K44)</f>
        <v>0</v>
      </c>
      <c r="M44" s="126"/>
      <c r="N44" s="126"/>
      <c r="O44" s="126"/>
      <c r="P44" s="126"/>
      <c r="Q44" s="126"/>
      <c r="R44" s="126"/>
      <c r="S44" s="126"/>
      <c r="T44" s="126"/>
    </row>
    <row r="45" customFormat="false" ht="15.75" hidden="false" customHeight="true" outlineLevel="0" collapsed="false">
      <c r="A45" s="157" t="s">
        <v>55</v>
      </c>
      <c r="B45" s="135" t="n">
        <f aca="true">COUNTIFS('Game History'!A:A,("&gt;"&amp;(TODAY()-365)),'Game History'!G:G,"MRDA",'Game History'!H:H,"Champs",'Game History'!I:I,Instructions!A69)+COUNTIFS('Game History'!A:A,("&gt;"&amp;(TODAY()-365)),'Game History'!G:G,"MRDA",'Game History'!H:H,"Playoff",'Game History'!I:I,Instructions!A69)+COUNTIFS('Game History'!A:A,("&gt;"&amp;(TODAY()-365)),'Game History'!G:G,"MRDA",'Game History'!H:H,"Champs",'Game History'!I:I,Instructions!A70)+COUNTIFS('Game History'!A:A,("&gt;"&amp;(TODAY()-365)),'Game History'!G:G,"MRDA",'Game History'!H:H,"Playoff",'Game History'!I:I,Instructions!A70)</f>
        <v>0</v>
      </c>
      <c r="C45" s="135" t="n">
        <f aca="true">COUNTIFS('Game History'!A:A,("&gt;"&amp;(TODAY()-365)),'Game History'!G:G,"MRDA",'Game History'!H:H,"Sanc",'Game History'!I:I,Instructions!A69)</f>
        <v>0</v>
      </c>
      <c r="D45" s="135" t="n">
        <f aca="true">COUNTIFS('Game History'!A:A,("&gt;"&amp;(TODAY()-365)),'Game History'!G:G,"MRDA",'Game History'!H:H,"Reg",'Game History'!I:I,Instructions!A69)</f>
        <v>0</v>
      </c>
      <c r="E45" s="136" t="n">
        <f aca="false">SUM(B45,C45,D45)</f>
        <v>0</v>
      </c>
      <c r="F45" s="126"/>
      <c r="G45" s="131"/>
      <c r="H45" s="158" t="s">
        <v>55</v>
      </c>
      <c r="I45" s="135" t="n">
        <f aca="true">COUNTIFS('Game History'!A:A,("&gt;"&amp;(TODAY()-548)),'Game History'!G:G,"MRDA",'Game History'!H:H,"Champs",'Game History'!I:I,Instructions!A69)+COUNTIFS('Game History'!A:A,("&gt;"&amp;(TODAY()-548)),'Game History'!G:G,"MRDA",'Game History'!H:H,"Playoff",'Game History'!I:I,Instructions!A69)+COUNTIFS('Game History'!A:A,("&gt;"&amp;(TODAY()-548)),'Game History'!G:G,"MRDA",'Game History'!H:H,"Champs",'Game History'!I:I,Instructions!A70)+COUNTIFS('Game History'!A:A,("&gt;"&amp;(TODAY()-548)),'Game History'!G:G,"MRDA",'Game History'!H:H,"Playoff",'Game History'!I:I,Instructions!A70)</f>
        <v>0</v>
      </c>
      <c r="J45" s="135" t="n">
        <f aca="true">COUNTIFS('Game History'!A:A,("&gt;"&amp;(TODAY()-548)),'Game History'!G:G,"MRDA",'Game History'!H:H,"Sanc",'Game History'!I:I,Instructions!A69)</f>
        <v>0</v>
      </c>
      <c r="K45" s="135" t="n">
        <f aca="true">COUNTIFS('Game History'!A:A,("&gt;"&amp;(TODAY()-548)),'Game History'!G:G,"MRDA",'Game History'!H:H,"Reg",'Game History'!I:I,Instructions!A69)</f>
        <v>0</v>
      </c>
      <c r="L45" s="136" t="n">
        <f aca="false">SUM(I45,J45,K45)</f>
        <v>0</v>
      </c>
      <c r="M45" s="126"/>
      <c r="N45" s="126"/>
      <c r="O45" s="126"/>
      <c r="P45" s="126"/>
      <c r="Q45" s="126"/>
      <c r="R45" s="126"/>
      <c r="S45" s="126"/>
      <c r="T45" s="126"/>
    </row>
    <row r="46" customFormat="false" ht="15.75" hidden="false" customHeight="true" outlineLevel="0" collapsed="false">
      <c r="A46" s="157" t="s">
        <v>25</v>
      </c>
      <c r="B46" s="94" t="s">
        <v>26</v>
      </c>
      <c r="C46" s="135" t="n">
        <f aca="true">COUNTIFS('Game History'!A:A,("&gt;"&amp;(TODAY()-365)),'Game History'!G:G,"MRDA",'Game History'!H:H,"Sanc",'Game History'!I:I,Instructions!A70)</f>
        <v>0</v>
      </c>
      <c r="D46" s="135" t="n">
        <f aca="true">COUNTIFS('Game History'!A:A,("&gt;"&amp;(TODAY()-365)),'Game History'!G:G,"MRDA",'Game History'!H:H,"Reg",'Game History'!I:I,Instructions!A70)</f>
        <v>0</v>
      </c>
      <c r="E46" s="136" t="n">
        <f aca="false">SUM(C46+D46)</f>
        <v>0</v>
      </c>
      <c r="F46" s="126"/>
      <c r="G46" s="131"/>
      <c r="H46" s="158" t="s">
        <v>25</v>
      </c>
      <c r="I46" s="94" t="s">
        <v>26</v>
      </c>
      <c r="J46" s="135" t="n">
        <f aca="true">COUNTIFS('Game History'!A:A,("&gt;"&amp;(TODAY()-548)),'Game History'!G:G,"MRDA",'Game History'!H:H,"Sanc",'Game History'!I:I,Instructions!A70)</f>
        <v>0</v>
      </c>
      <c r="K46" s="135" t="n">
        <f aca="true">COUNTIFS('Game History'!A:A,("&gt;"&amp;(TODAY()-548)),'Game History'!G:G,"MRDA",'Game History'!H:H,"Reg",'Game History'!I:I,Instructions!A70)</f>
        <v>0</v>
      </c>
      <c r="L46" s="136" t="n">
        <f aca="false">SUM(J46+K46)</f>
        <v>0</v>
      </c>
      <c r="M46" s="126"/>
      <c r="N46" s="126"/>
      <c r="O46" s="126"/>
      <c r="P46" s="126"/>
      <c r="Q46" s="126"/>
      <c r="R46" s="126"/>
      <c r="S46" s="126"/>
      <c r="T46" s="126"/>
    </row>
    <row r="47" customFormat="false" ht="15.75" hidden="false" customHeight="true" outlineLevel="0" collapsed="false">
      <c r="A47" s="157" t="s">
        <v>30</v>
      </c>
      <c r="B47" s="135" t="n">
        <f aca="true">COUNTIFS('Game History'!A:A,("&gt;"&amp;(TODAY()-365)),'Game History'!G:G,"MRDA",'Game History'!H:H,"Champs",'Game History'!I:I,Instructions!A74)+COUNTIFS('Game History'!A:A,("&gt;"&amp;(TODAY()-365)),'Game History'!G:G,"MRDA",'Game History'!H:H,"Playoff",'Game History'!I:I,Instructions!A74)+COUNTIFS('Game History'!A:A,("&gt;"&amp;(TODAY()-365)),'Game History'!G:G,"MRDA",'Game History'!H:H,"Champs",'Game History'!J:J,Instructions!A74)+COUNTIFS('Game History'!A:A,("&gt;"&amp;(TODAY()-365)),'Game History'!G:G,"MRDA",'Game History'!H:H,"Playoff",'Game History'!J:J,Instructions!A74)</f>
        <v>0</v>
      </c>
      <c r="C47" s="135" t="n">
        <f aca="true">COUNTIFS('Game History'!A:A,("&gt;"&amp;(TODAY()-365)),'Game History'!G:G,"MRDA",'Game History'!H:H,"Sanc",'Game History'!I:I,Instructions!A74)+COUNTIFS('Game History'!A:A,("&gt;"&amp;(TODAY()-365)),'Game History'!G:G,"MRDA",'Game History'!H:H,"Sanc",'Game History'!J:J,Instructions!A74)</f>
        <v>0</v>
      </c>
      <c r="D47" s="135" t="n">
        <f aca="true">COUNTIFS('Game History'!A:A,("&gt;"&amp;(TODAY()-365)),'Game History'!G:G,"MRDA",'Game History'!H:H,"Reg",'Game History'!I:I,Instructions!A74)+COUNTIFS('Game History'!A:A,("&gt;"&amp;(TODAY()-365)),'Game History'!G:G,"MRDA",'Game History'!H:H,"Reg",'Game History'!J:J,Instructions!A74)</f>
        <v>0</v>
      </c>
      <c r="E47" s="136" t="n">
        <f aca="false">SUM(B47,C47,D47)</f>
        <v>0</v>
      </c>
      <c r="F47" s="11"/>
      <c r="G47" s="131"/>
      <c r="H47" s="158" t="s">
        <v>30</v>
      </c>
      <c r="I47" s="135" t="n">
        <f aca="true">COUNTIFS('Game History'!A:A,("&gt;"&amp;(TODAY()-548)),'Game History'!G:G,"MRDA",'Game History'!H:H,"Champs",'Game History'!I:I,Instructions!A74)+COUNTIFS('Game History'!A:A,("&gt;"&amp;(TODAY()-548)),'Game History'!G:G,"MRDA",'Game History'!H:H,"Playoff",'Game History'!I:I,Instructions!A74)+COUNTIFS('Game History'!A:A,("&gt;"&amp;(TODAY()-548)),'Game History'!G:G,"MRDA",'Game History'!H:H,"Champs",'Game History'!J:J,Instructions!A74)+COUNTIFS('Game History'!A:A,("&gt;"&amp;(TODAY()-548)),'Game History'!G:G,"MRDA",'Game History'!H:H,"Playoff",'Game History'!J:J,Instructions!A74)</f>
        <v>0</v>
      </c>
      <c r="J47" s="135" t="n">
        <f aca="true">COUNTIFS('Game History'!A:A,("&gt;"&amp;(TODAY()-548)),'Game History'!G:G,"MRDA",'Game History'!H:H,"Sanc",'Game History'!I:I,Instructions!A74)+COUNTIFS('Game History'!A:A,("&gt;"&amp;(TODAY()-548)),'Game History'!G:G,"MRDA",'Game History'!H:H,"Sanc",'Game History'!J:J,Instructions!A74)</f>
        <v>0</v>
      </c>
      <c r="K47" s="135" t="n">
        <f aca="true">COUNTIFS('Game History'!A:A,("&gt;"&amp;(TODAY()-548)),'Game History'!G:G,"MRDA",'Game History'!H:H,"Reg",'Game History'!I:I,Instructions!A74)+COUNTIFS('Game History'!A:A,("&gt;"&amp;(TODAY()-548)),'Game History'!G:G,"MRDA",'Game History'!H:H,"Reg",'Game History'!J:J,Instructions!A74)</f>
        <v>0</v>
      </c>
      <c r="L47" s="136" t="n">
        <f aca="false">SUM(I47,J47,K47)</f>
        <v>0</v>
      </c>
      <c r="M47" s="11"/>
      <c r="N47" s="126"/>
      <c r="O47" s="126"/>
      <c r="P47" s="126"/>
      <c r="Q47" s="126"/>
      <c r="R47" s="126"/>
      <c r="S47" s="126"/>
      <c r="T47" s="126"/>
    </row>
    <row r="48" customFormat="false" ht="15.75" hidden="false" customHeight="true" outlineLevel="0" collapsed="false">
      <c r="A48" s="157" t="s">
        <v>34</v>
      </c>
      <c r="B48" s="135" t="n">
        <f aca="true">COUNTIFS('Game History'!A:A,("&gt;"&amp;(TODAY()-365)),'Game History'!G:G,"MRDA",'Game History'!H:H,"Champs",'Game History'!I:I,Instructions!A75)+COUNTIFS('Game History'!A:A,("&gt;"&amp;(TODAY()-365)),'Game History'!G:G,"MRDA",'Game History'!H:H,"Playoff",'Game History'!I:I,Instructions!A75)+COUNTIFS('Game History'!A:A,("&gt;"&amp;(TODAY()-365)),'Game History'!G:G,"MRDA",'Game History'!H:H,"Champs",'Game History'!J:J,Instructions!A75)+COUNTIFS('Game History'!A:A,("&gt;"&amp;(TODAY()-365)),'Game History'!G:G,"MRDA",'Game History'!H:H,"Playoff",'Game History'!J:J,Instructions!A75)</f>
        <v>0</v>
      </c>
      <c r="C48" s="135" t="n">
        <f aca="true">COUNTIFS('Game History'!A:A,("&gt;"&amp;(TODAY()-365)),'Game History'!G:G,"MRDA",'Game History'!H:H,"Sanc",'Game History'!I:I,Instructions!A75)+COUNTIFS('Game History'!A:A,("&gt;"&amp;(TODAY()-365)),'Game History'!G:G,"MRDA",'Game History'!H:H,"Sanc",'Game History'!J:J,Instructions!A75)</f>
        <v>0</v>
      </c>
      <c r="D48" s="135" t="n">
        <f aca="true">COUNTIFS('Game History'!A:A,("&gt;"&amp;(TODAY()-365)),'Game History'!G:G,"MRDA",'Game History'!H:H,"Reg",'Game History'!I:I,Instructions!A75)+COUNTIFS('Game History'!A:A,("&gt;"&amp;(TODAY()-365)),'Game History'!G:G,"MRDA",'Game History'!H:H,"Reg",'Game History'!J:J,Instructions!A75)</f>
        <v>0</v>
      </c>
      <c r="E48" s="136" t="n">
        <f aca="false">SUM(B48,C48,D48)</f>
        <v>0</v>
      </c>
      <c r="F48" s="11"/>
      <c r="G48" s="131"/>
      <c r="H48" s="158" t="s">
        <v>34</v>
      </c>
      <c r="I48" s="135" t="n">
        <f aca="true">COUNTIFS('Game History'!A:A,("&gt;"&amp;(TODAY()-548)),'Game History'!G:G,"MRDA",'Game History'!H:H,"Champs",'Game History'!I:I,Instructions!A75)+COUNTIFS('Game History'!A:A,("&gt;"&amp;(TODAY()-548)),'Game History'!G:G,"MRDA",'Game History'!H:H,"Playoff",'Game History'!I:I,Instructions!A75)+COUNTIFS('Game History'!A:A,("&gt;"&amp;(TODAY()-548)),'Game History'!G:G,"MRDA",'Game History'!H:H,"Champs",'Game History'!J:J,Instructions!A75)+COUNTIFS('Game History'!A:A,("&gt;"&amp;(TODAY()-548)),'Game History'!G:G,"MRDA",'Game History'!H:H,"Playoff",'Game History'!J:J,Instructions!A75)</f>
        <v>0</v>
      </c>
      <c r="J48" s="135" t="n">
        <f aca="true">COUNTIFS('Game History'!A:A,("&gt;"&amp;(TODAY()-548)),'Game History'!G:G,"MRDA",'Game History'!H:H,"Sanc",'Game History'!I:I,Instructions!A75)+COUNTIFS('Game History'!A:A,("&gt;"&amp;(TODAY()-548)),'Game History'!G:G,"MRDA",'Game History'!H:H,"Sanc",'Game History'!J:J,Instructions!A75)</f>
        <v>0</v>
      </c>
      <c r="K48" s="135" t="n">
        <f aca="true">COUNTIFS('Game History'!A:A,("&gt;"&amp;(TODAY()-548)),'Game History'!G:G,"MRDA",'Game History'!H:H,"Reg",'Game History'!I:I,Instructions!A75)+COUNTIFS('Game History'!A:A,("&gt;"&amp;(TODAY()-548)),'Game History'!G:G,"MRDA",'Game History'!H:H,"Reg",'Game History'!J:J,Instructions!A75)</f>
        <v>0</v>
      </c>
      <c r="L48" s="136" t="n">
        <f aca="false">SUM(I48,J48,K48)</f>
        <v>0</v>
      </c>
      <c r="M48" s="11"/>
      <c r="N48" s="126"/>
      <c r="O48" s="126"/>
      <c r="P48" s="126"/>
      <c r="Q48" s="126"/>
      <c r="R48" s="126"/>
      <c r="S48" s="126"/>
      <c r="T48" s="126"/>
    </row>
    <row r="49" customFormat="false" ht="15.75" hidden="false" customHeight="true" outlineLevel="0" collapsed="false">
      <c r="A49" s="157" t="s">
        <v>38</v>
      </c>
      <c r="B49" s="135" t="n">
        <f aca="true">COUNTIFS('Game History'!A:A,("&gt;"&amp;(TODAY()-365)),'Game History'!G:G,"MRDA",'Game History'!H:H,"Champs",'Game History'!I:I,Instructions!A76)+COUNTIFS('Game History'!A:A,("&gt;"&amp;(TODAY()-365)),'Game History'!G:G,"MRDA",'Game History'!H:H,"Playoff",'Game History'!I:I,Instructions!A76)+COUNTIFS('Game History'!A:A,("&gt;"&amp;(TODAY()-365)),'Game History'!G:G,"MRDA",'Game History'!H:H,"Champs",'Game History'!J:J,Instructions!A76)+COUNTIFS('Game History'!A:A,("&gt;"&amp;(TODAY()-365)),'Game History'!G:G,"MRDA",'Game History'!H:H,"Playoff",'Game History'!J:J,Instructions!A76)</f>
        <v>0</v>
      </c>
      <c r="C49" s="135" t="n">
        <f aca="true">COUNTIFS('Game History'!A:A,("&gt;"&amp;(TODAY()-365)),'Game History'!G:G,"MRDA",'Game History'!H:H,"Sanc",'Game History'!I:I,Instructions!A76)+COUNTIFS('Game History'!A:A,("&gt;"&amp;(TODAY()-365)),'Game History'!G:G,"MRDA",'Game History'!H:H,"Sanc",'Game History'!J:J,Instructions!A76)</f>
        <v>0</v>
      </c>
      <c r="D49" s="135" t="n">
        <f aca="true">COUNTIFS('Game History'!A:A,("&gt;"&amp;(TODAY()-365)),'Game History'!G:G,"MRDA",'Game History'!H:H,"Reg",'Game History'!I:I,Instructions!A76)+COUNTIFS('Game History'!A:A,("&gt;"&amp;(TODAY()-365)),'Game History'!G:G,"MRDA",'Game History'!H:H,"Reg",'Game History'!J:J,Instructions!A76)</f>
        <v>0</v>
      </c>
      <c r="E49" s="136" t="n">
        <f aca="false">SUM(B49,C49,D49)</f>
        <v>0</v>
      </c>
      <c r="F49" s="126"/>
      <c r="G49" s="131"/>
      <c r="H49" s="158" t="s">
        <v>38</v>
      </c>
      <c r="I49" s="135" t="n">
        <f aca="true">COUNTIFS('Game History'!A:A,("&gt;"&amp;(TODAY()-548)),'Game History'!G:G,"MRDA",'Game History'!H:H,"Champs",'Game History'!I:I,Instructions!A76)+COUNTIFS('Game History'!A:A,("&gt;"&amp;(TODAY()-548)),'Game History'!G:G,"MRDA",'Game History'!H:H,"Playoff",'Game History'!I:I,Instructions!A76)+COUNTIFS('Game History'!A:A,("&gt;"&amp;(TODAY()-548)),'Game History'!G:G,"MRDA",'Game History'!H:H,"Champs",'Game History'!J:J,Instructions!A76)+COUNTIFS('Game History'!A:A,("&gt;"&amp;(TODAY()-548)),'Game History'!G:G,"MRDA",'Game History'!H:H,"Playoff",'Game History'!J:J,Instructions!A76)</f>
        <v>0</v>
      </c>
      <c r="J49" s="135" t="n">
        <f aca="true">COUNTIFS('Game History'!A:A,("&gt;"&amp;(TODAY()-548)),'Game History'!G:G,"MRDA",'Game History'!H:H,"Sanc",'Game History'!I:I,Instructions!A76)+COUNTIFS('Game History'!A:A,("&gt;"&amp;(TODAY()-548)),'Game History'!G:G,"MRDA",'Game History'!H:H,"Sanc",'Game History'!J:J,Instructions!A76)</f>
        <v>0</v>
      </c>
      <c r="K49" s="135" t="n">
        <f aca="true">COUNTIFS('Game History'!A:A,("&gt;"&amp;(TODAY()-548)),'Game History'!G:G,"MRDA",'Game History'!H:H,"Reg",'Game History'!I:I,Instructions!A76)+COUNTIFS('Game History'!A:A,("&gt;"&amp;(TODAY()-548)),'Game History'!G:G,"MRDA",'Game History'!H:H,"Reg",'Game History'!J:J,Instructions!A76)</f>
        <v>0</v>
      </c>
      <c r="L49" s="136" t="n">
        <f aca="false">SUM(I49,J49,K49)</f>
        <v>0</v>
      </c>
      <c r="M49" s="126"/>
      <c r="N49" s="126"/>
      <c r="O49" s="126"/>
      <c r="P49" s="126"/>
      <c r="Q49" s="126"/>
      <c r="R49" s="126"/>
      <c r="S49" s="126"/>
      <c r="T49" s="126"/>
    </row>
    <row r="50" customFormat="false" ht="15.75" hidden="false" customHeight="true" outlineLevel="0" collapsed="false">
      <c r="A50" s="157" t="s">
        <v>304</v>
      </c>
      <c r="B50" s="135" t="n">
        <f aca="true">COUNTIFS('Game History'!A:A,("&gt;"&amp;(TODAY()-365)),'Game History'!G:G,"MRDA",'Game History'!H:H,"Champs",'Game History'!I:I,Instructions!A87)+COUNTIFS('Game History'!A:A,("&gt;"&amp;(TODAY()-365)),'Game History'!G:G,"MRDA",'Game History'!H:H,"Playoff",'Game History'!I:I,Instructions!A87)</f>
        <v>0</v>
      </c>
      <c r="C50" s="135" t="n">
        <f aca="true">COUNTIFS('Game History'!A:A,("&gt;"&amp;(TODAY()-365)),'Game History'!G:G,"MRDA",'Game History'!H:H,"Sanc",'Game History'!I:I,Instructions!A87)</f>
        <v>0</v>
      </c>
      <c r="D50" s="135" t="n">
        <f aca="true">COUNTIFS('Game History'!A:A,("&gt;"&amp;(TODAY()-365)),'Game History'!G:G,"MRDA",'Game History'!H:H,"Reg",'Game History'!I:I,Instructions!A87)</f>
        <v>0</v>
      </c>
      <c r="E50" s="136" t="n">
        <f aca="false">SUM(B50,C50,D50)</f>
        <v>0</v>
      </c>
      <c r="F50" s="126"/>
      <c r="G50" s="131"/>
      <c r="H50" s="158" t="s">
        <v>304</v>
      </c>
      <c r="I50" s="135" t="n">
        <f aca="true">COUNTIFS('Game History'!A:A,("&gt;"&amp;(TODAY()-548)),'Game History'!G:G,"MRDA",'Game History'!H:H,"Champs",'Game History'!I:I,Instructions!A87)+COUNTIFS('Game History'!A:A,("&gt;"&amp;(TODAY()-548)),'Game History'!G:G,"MRDA",'Game History'!H:H,"Playoff",'Game History'!I:I,Instructions!A87)</f>
        <v>0</v>
      </c>
      <c r="J50" s="135" t="n">
        <f aca="true">COUNTIFS('Game History'!A:A,("&gt;"&amp;(TODAY()-548)),'Game History'!G:G,"MRDA",'Game History'!H:H,"Sanc",'Game History'!I:I,Instructions!A87)</f>
        <v>0</v>
      </c>
      <c r="K50" s="135" t="n">
        <f aca="true">COUNTIFS('Game History'!A:A,("&gt;"&amp;(TODAY()-548)),'Game History'!G:G,"MRDA",'Game History'!H:H,"Reg",'Game History'!I:I,Instructions!A87)</f>
        <v>0</v>
      </c>
      <c r="L50" s="136" t="n">
        <f aca="false">SUM(I50,J50,K50)</f>
        <v>0</v>
      </c>
      <c r="M50" s="126"/>
      <c r="N50" s="126"/>
      <c r="O50" s="126"/>
      <c r="P50" s="126"/>
      <c r="Q50" s="126"/>
      <c r="R50" s="126"/>
      <c r="S50" s="126"/>
      <c r="T50" s="126"/>
    </row>
    <row r="51" customFormat="false" ht="15.75" hidden="false" customHeight="true" outlineLevel="0" collapsed="false">
      <c r="A51" s="157" t="s">
        <v>305</v>
      </c>
      <c r="B51" s="136" t="n">
        <f aca="false">SUM(B44:B50)</f>
        <v>0</v>
      </c>
      <c r="C51" s="136" t="n">
        <f aca="false">SUM(C44:C50)</f>
        <v>0</v>
      </c>
      <c r="D51" s="136" t="n">
        <f aca="false">SUM(D44:D50)</f>
        <v>0</v>
      </c>
      <c r="E51" s="136" t="n">
        <f aca="false">SUM(E44:E50)</f>
        <v>0</v>
      </c>
      <c r="F51" s="126"/>
      <c r="G51" s="131"/>
      <c r="H51" s="158" t="s">
        <v>305</v>
      </c>
      <c r="I51" s="136" t="n">
        <f aca="false">SUM(I44:I50)</f>
        <v>0</v>
      </c>
      <c r="J51" s="136" t="n">
        <f aca="false">SUM(J44:J50)</f>
        <v>0</v>
      </c>
      <c r="K51" s="136" t="n">
        <f aca="false">SUM(K44:K50)</f>
        <v>0</v>
      </c>
      <c r="L51" s="136" t="n">
        <f aca="false">SUM(L44:L50)</f>
        <v>0</v>
      </c>
      <c r="M51" s="126"/>
      <c r="N51" s="126"/>
      <c r="O51" s="126"/>
      <c r="P51" s="126"/>
      <c r="Q51" s="126"/>
      <c r="R51" s="126"/>
      <c r="S51" s="126"/>
      <c r="T51" s="126"/>
    </row>
    <row r="52" customFormat="false" ht="15.75" hidden="false" customHeight="true" outlineLevel="0" collapsed="false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</row>
    <row r="53" customFormat="false" ht="15.75" hidden="false" customHeight="true" outlineLevel="0" collapsed="false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</row>
    <row r="54" customFormat="false" ht="15.75" hidden="false" customHeight="true" outlineLevel="0" collapsed="false">
      <c r="A54" s="127" t="s">
        <v>315</v>
      </c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6"/>
      <c r="O54" s="126"/>
      <c r="P54" s="126"/>
      <c r="Q54" s="126"/>
      <c r="R54" s="126"/>
      <c r="S54" s="126"/>
      <c r="T54" s="126"/>
    </row>
    <row r="55" customFormat="false" ht="15.75" hidden="false" customHeight="true" outlineLevel="0" collapsed="false">
      <c r="A55" s="128"/>
      <c r="B55" s="128"/>
      <c r="C55" s="128"/>
      <c r="D55" s="128"/>
      <c r="E55" s="128"/>
      <c r="F55" s="129"/>
      <c r="G55" s="129"/>
      <c r="H55" s="129"/>
      <c r="I55" s="129"/>
      <c r="J55" s="128"/>
      <c r="K55" s="128"/>
      <c r="L55" s="128"/>
      <c r="M55" s="129"/>
      <c r="N55" s="126"/>
      <c r="O55" s="126"/>
      <c r="P55" s="126"/>
      <c r="Q55" s="126"/>
      <c r="R55" s="126"/>
      <c r="S55" s="126"/>
      <c r="T55" s="126"/>
    </row>
    <row r="56" customFormat="false" ht="15.75" hidden="false" customHeight="true" outlineLevel="0" collapsed="false">
      <c r="A56" s="151" t="s">
        <v>301</v>
      </c>
      <c r="B56" s="152" t="s">
        <v>20</v>
      </c>
      <c r="C56" s="152" t="s">
        <v>21</v>
      </c>
      <c r="D56" s="152" t="s">
        <v>22</v>
      </c>
      <c r="E56" s="152" t="s">
        <v>302</v>
      </c>
      <c r="F56" s="153"/>
      <c r="G56" s="153"/>
      <c r="H56" s="154" t="s">
        <v>303</v>
      </c>
      <c r="I56" s="155" t="s">
        <v>20</v>
      </c>
      <c r="J56" s="155" t="s">
        <v>21</v>
      </c>
      <c r="K56" s="155" t="s">
        <v>22</v>
      </c>
      <c r="L56" s="155" t="s">
        <v>302</v>
      </c>
      <c r="M56" s="153"/>
      <c r="Q56" s="153"/>
      <c r="R56" s="153"/>
      <c r="S56" s="126"/>
      <c r="T56" s="126"/>
    </row>
    <row r="57" customFormat="false" ht="15.75" hidden="false" customHeight="true" outlineLevel="0" collapsed="false">
      <c r="A57" s="157" t="s">
        <v>63</v>
      </c>
      <c r="B57" s="135" t="n">
        <f aca="true">COUNTIFS('Game History'!A:A,("&gt;"&amp;(TODAY()-365)),'Game History'!G:G,"MRDA",'Game History'!H:H,"Champs",'Game History'!I:I,Instructions!A71)+COUNTIFS('Game History'!A:A,("&gt;"&amp;(TODAY()-365)),'Game History'!G:G,"MRDA",'Game History'!H:H,"Playoff",'Game History'!I:I,Instructions!A71)</f>
        <v>0</v>
      </c>
      <c r="C57" s="135" t="n">
        <f aca="true">COUNTIFS('Game History'!A:A,("&gt;"&amp;(TODAY()-365)),'Game History'!G:G,"MRDA",'Game History'!H:H,"Sanc",'Game History'!I:I,Instructions!A71)</f>
        <v>0</v>
      </c>
      <c r="D57" s="139" t="n">
        <f aca="true">COUNTIFS('Game History'!A:A,("&gt;"&amp;(TODAY()-365)),'Game History'!G:G,"MRDA",'Game History'!H:H,"Reg",'Game History'!I:I,Instructions!A71)</f>
        <v>0</v>
      </c>
      <c r="E57" s="136" t="n">
        <f aca="false">SUM(B57+C57+D57)</f>
        <v>0</v>
      </c>
      <c r="F57" s="153"/>
      <c r="G57" s="126"/>
      <c r="H57" s="158" t="s">
        <v>63</v>
      </c>
      <c r="I57" s="135" t="n">
        <f aca="true">COUNTIFS('Game History'!A:A,("&gt;"&amp;(TODAY()-548)),'Game History'!G:G,"MRDA",'Game History'!H:H,"Champs",'Game History'!I:I,Instructions!A71)+COUNTIFS('Game History'!A:A,("&gt;"&amp;(TODAY()-548)),'Game History'!G:G,"MRDA",'Game History'!H:H,"Playoff",'Game History'!I:I,Instructions!A71)</f>
        <v>0</v>
      </c>
      <c r="J57" s="135" t="n">
        <f aca="true">COUNTIFS('Game History'!A:A,("&gt;"&amp;(TODAY()-548)),'Game History'!G:G,"MRDA",'Game History'!H:H,"Sanc",'Game History'!I:I,Instructions!A71)</f>
        <v>0</v>
      </c>
      <c r="K57" s="139" t="n">
        <f aca="true">COUNTIFS('Game History'!A:A,("&gt;"&amp;(TODAY()-548)),'Game History'!G:G,"MRDA",'Game History'!H:H,"Reg",'Game History'!I:I,Instructions!A71)</f>
        <v>0</v>
      </c>
      <c r="L57" s="136" t="n">
        <f aca="false">SUM(I57+J57+K57)</f>
        <v>0</v>
      </c>
      <c r="M57" s="153"/>
      <c r="Q57" s="126"/>
      <c r="R57" s="126"/>
      <c r="S57" s="126"/>
      <c r="T57" s="126"/>
    </row>
    <row r="58" customFormat="false" ht="15.75" hidden="false" customHeight="true" outlineLevel="0" collapsed="false">
      <c r="A58" s="157" t="s">
        <v>67</v>
      </c>
      <c r="B58" s="135" t="n">
        <f aca="true">COUNTIFS('Game History'!A:A,("&gt;"&amp;(TODAY()-365)),'Game History'!G:G,"MRDA",'Game History'!H:H,"Champs",'Game History'!I:I,Instructions!A72)+COUNTIFS('Game History'!A:A,("&gt;"&amp;(TODAY()-365)),'Game History'!G:G,"MRDA",'Game History'!H:H,"Playoff",'Game History'!I:I,Instructions!A72)+COUNTIFS('Game History'!A:A,("&gt;"&amp;(TODAY()-365)),'Game History'!G:G,"MRDA",'Game History'!H:H,"Champs",'Game History'!I:I,Instructions!A73)+COUNTIFS('Game History'!A:A,("&gt;"&amp;(TODAY()-365)),'Game History'!G:G,"MRDA",'Game History'!H:H,"Playoff",'Game History'!I:I,Instructions!A73)</f>
        <v>0</v>
      </c>
      <c r="C58" s="139" t="n">
        <f aca="true">COUNTIFS('Game History'!A:A,("&gt;"&amp;(TODAY()-365)),'Game History'!G:G,"MRDA",'Game History'!H:H,"Sanc",'Game History'!I:I,Instructions!A72)</f>
        <v>0</v>
      </c>
      <c r="D58" s="139" t="n">
        <f aca="true">COUNTIFS('Game History'!A:A,("&gt;"&amp;(TODAY()-365)),'Game History'!G:G,"MRDA",'Game History'!H:H,"Reg",'Game History'!I:I,Instructions!A72)</f>
        <v>0</v>
      </c>
      <c r="E58" s="140" t="n">
        <f aca="false">SUM(B58+C58+D58)</f>
        <v>0</v>
      </c>
      <c r="F58" s="153"/>
      <c r="G58" s="126"/>
      <c r="H58" s="158" t="s">
        <v>67</v>
      </c>
      <c r="I58" s="135" t="n">
        <f aca="true">COUNTIFS('Game History'!A:A,("&gt;"&amp;(TODAY()-548)),'Game History'!G:G,"MRDA",'Game History'!H:H,"Champs",'Game History'!I:I,Instructions!A72)+COUNTIFS('Game History'!A:A,("&gt;"&amp;(TODAY()-548)),'Game History'!G:G,"MRDA",'Game History'!H:H,"Playoff",'Game History'!I:I,Instructions!A72)+COUNTIFS('Game History'!A:A,("&gt;"&amp;(TODAY()-548)),'Game History'!G:G,"MRDA",'Game History'!H:H,"Champs",'Game History'!I:I,Instructions!A73)+COUNTIFS('Game History'!A:A,("&gt;"&amp;(TODAY()-548)),'Game History'!G:G,"MRDA",'Game History'!H:H,"Playoff",'Game History'!I:I,Instructions!A73)</f>
        <v>0</v>
      </c>
      <c r="J58" s="135" t="n">
        <f aca="true">COUNTIFS('Game History'!A:A,("&gt;"&amp;(TODAY()-548)),'Game History'!G:G,"MRDA",'Game History'!H:H,"Sanc",'Game History'!I:I,Instructions!A72)</f>
        <v>0</v>
      </c>
      <c r="K58" s="139" t="n">
        <f aca="true">COUNTIFS('Game History'!A:A,("&gt;"&amp;(TODAY()-548)),'Game History'!G:G,"MRDA",'Game History'!H:H,"Reg",'Game History'!I:I,Instructions!A72)</f>
        <v>0</v>
      </c>
      <c r="L58" s="140" t="n">
        <f aca="false">SUM(I58+J58+K58)</f>
        <v>0</v>
      </c>
      <c r="M58" s="153"/>
      <c r="Q58" s="126"/>
      <c r="R58" s="126"/>
      <c r="S58" s="126"/>
      <c r="T58" s="126"/>
    </row>
    <row r="59" customFormat="false" ht="15.75" hidden="false" customHeight="true" outlineLevel="0" collapsed="false">
      <c r="A59" s="157" t="s">
        <v>28</v>
      </c>
      <c r="B59" s="142" t="s">
        <v>26</v>
      </c>
      <c r="C59" s="139" t="n">
        <f aca="true">COUNTIFS('Game History'!A:A,("&gt;"&amp;(TODAY()-365)),'Game History'!G:G,"MRDA",'Game History'!H:H,"Sanc",'Game History'!I:I,Instructions!A73)</f>
        <v>0</v>
      </c>
      <c r="D59" s="139" t="n">
        <f aca="true">COUNTIFS('Game History'!A:A,("&gt;"&amp;(TODAY()-365)),'Game History'!G:G,"MRDA",'Game History'!H:H,"Reg",'Game History'!I:I,Instructions!A73)</f>
        <v>0</v>
      </c>
      <c r="E59" s="136" t="n">
        <f aca="false">SUM(C59+D59)</f>
        <v>0</v>
      </c>
      <c r="F59" s="152" t="s">
        <v>307</v>
      </c>
      <c r="G59" s="126"/>
      <c r="H59" s="158" t="s">
        <v>28</v>
      </c>
      <c r="I59" s="142" t="s">
        <v>26</v>
      </c>
      <c r="J59" s="135" t="n">
        <f aca="true">COUNTIFS('Game History'!A:A,("&gt;"&amp;(TODAY()-548)),'Game History'!G:G,"MRDA",'Game History'!H:H,"Sanc",'Game History'!I:I,Instructions!A73)</f>
        <v>0</v>
      </c>
      <c r="K59" s="139" t="n">
        <f aca="true">COUNTIFS('Game History'!A:A,("&gt;"&amp;(TODAY()-548)),'Game History'!G:G,"MRDA",'Game History'!H:H,"Reg",'Game History'!I:I,Instructions!A73)</f>
        <v>0</v>
      </c>
      <c r="L59" s="136" t="n">
        <f aca="false">SUM(J59+K59)</f>
        <v>0</v>
      </c>
      <c r="M59" s="155" t="s">
        <v>307</v>
      </c>
      <c r="Q59" s="126"/>
      <c r="R59" s="126"/>
      <c r="S59" s="126"/>
      <c r="T59" s="126"/>
    </row>
    <row r="60" customFormat="false" ht="15.75" hidden="false" customHeight="true" outlineLevel="0" collapsed="false">
      <c r="A60" s="157" t="s">
        <v>32</v>
      </c>
      <c r="B60" s="139" t="n">
        <f aca="true">COUNTIFS('Game History'!A:A,("&gt;"&amp;(TODAY()-365)),'Game History'!G:G,"MRDA",'Game History'!H:H,"Champs",'Game History'!I:I,Instructions!A77)+COUNTIFS('Game History'!A:A,("&gt;"&amp;(TODAY()-365)),'Game History'!G:G,"MRDA",'Game History'!H:H,"Playoff",'Game History'!I:I,Instructions!A77)+COUNTIFS('Game History'!A:A,("&gt;"&amp;(TODAY()-365)),'Game History'!G:G,"MRDA",'Game History'!H:H,"Champs",'Game History'!J:J,Instructions!A77)+COUNTIFS('Game History'!A:A,("&gt;"&amp;(TODAY()-365)),'Game History'!G:G,"MRDA",'Game History'!H:H,"Playoff",'Game History'!J:J,Instructions!A77)</f>
        <v>0</v>
      </c>
      <c r="C60" s="139" t="n">
        <f aca="true">COUNTIFS('Game History'!A:A,("&gt;"&amp;(TODAY()-365)),'Game History'!G:G,"MRDA",'Game History'!H:H,"Sanc",'Game History'!I:I,Instructions!A77)+COUNTIFS('Game History'!A:A,("&gt;"&amp;(TODAY()-365)),'Game History'!G:G,"MRDA",'Game History'!H:H,"Sanc",'Game History'!J:J,Instructions!A77)</f>
        <v>0</v>
      </c>
      <c r="D60" s="139" t="n">
        <f aca="true">COUNTIFS('Game History'!A:A,("&gt;"&amp;(TODAY()-365)),'Game History'!G:G,"MRDA",'Game History'!H:H,"Reg",'Game History'!I:I,Instructions!A77)+COUNTIFS('Game History'!A:A,("&gt;"&amp;(TODAY()-365)),'Game History'!G:G,"MRDA",'Game History'!H:H,"Reg",'Game History'!J:J,Instructions!A77)</f>
        <v>0</v>
      </c>
      <c r="E60" s="136" t="n">
        <f aca="false">SUM(B60+C60+D60)</f>
        <v>0</v>
      </c>
      <c r="F60" s="135" t="n">
        <f aca="true">COUNTIFS('Game History'!A:A,("&gt;"&amp;(TODAY()-365)),'Game History'!G:G,"MRDA",'Game History'!I:I,A60,'Game History'!K:K,"Y")+COUNTIFS('Game History'!A:A,("&gt;"&amp;(TODAY()-365)),'Game History'!G:G,"MRDA",'Game History'!J:J,A60,'Game History'!K:K,"Y")</f>
        <v>0</v>
      </c>
      <c r="G60" s="126"/>
      <c r="H60" s="158" t="s">
        <v>32</v>
      </c>
      <c r="I60" s="135" t="n">
        <f aca="true">COUNTIFS('Game History'!A:A,("&gt;"&amp;(TODAY()-548)),'Game History'!G:G,"MRDA",'Game History'!H:H,"Champs",'Game History'!I:I,Instructions!A77)+COUNTIFS('Game History'!A:A,("&gt;"&amp;(TODAY()-548)),'Game History'!G:G,"MRDA",'Game History'!H:H,"Playoff",'Game History'!I:I,Instructions!A77)+COUNTIFS('Game History'!A:A,("&gt;"&amp;(TODAY()-548)),'Game History'!G:G,"MRDA",'Game History'!H:H,"Champs",'Game History'!J:J,Instructions!A77)+COUNTIFS('Game History'!A:A,("&gt;"&amp;(TODAY()-548)),'Game History'!G:G,"MRDA",'Game History'!H:H,"Playoff",'Game History'!J:J,Instructions!A77)</f>
        <v>0</v>
      </c>
      <c r="J60" s="135" t="n">
        <f aca="true">COUNTIFS('Game History'!A:A,("&gt;"&amp;(TODAY()-548)),'Game History'!G:G,"MRDA",'Game History'!H:H,"Sanc",'Game History'!I:I,Instructions!A77)+COUNTIFS('Game History'!A:A,("&gt;"&amp;(TODAY()-548)),'Game History'!G:G,"MRDA",'Game History'!H:H,"Sanc",'Game History'!J:J,Instructions!A77)</f>
        <v>0</v>
      </c>
      <c r="K60" s="139" t="n">
        <f aca="true">COUNTIFS('Game History'!A:A,("&gt;"&amp;(TODAY()-548)),'Game History'!G:G,"MRDA",'Game History'!H:H,"Reg",'Game History'!I:I,Instructions!A77)+COUNTIFS('Game History'!A:A,("&gt;"&amp;(TODAY()-548)),'Game History'!G:G,"MRDA",'Game History'!H:H,"Reg",'Game History'!J:J,Instructions!A77)</f>
        <v>0</v>
      </c>
      <c r="L60" s="136" t="n">
        <f aca="false">SUM(I60+J60+K60)</f>
        <v>0</v>
      </c>
      <c r="M60" s="135" t="n">
        <f aca="true">COUNTIFS('Game History'!A:A,("&gt;"&amp;(TODAY()-548)),'Game History'!G:G,"MRDA",'Game History'!I:I,A60,'Game History'!K:K,"Y")+COUNTIFS('Game History'!A:A,("&gt;"&amp;(TODAY()-548)),'Game History'!G:G,"MRDA",'Game History'!J:J,A60,'Game History'!K:K,"Y")</f>
        <v>0</v>
      </c>
      <c r="Q60" s="126"/>
      <c r="R60" s="126"/>
      <c r="S60" s="126"/>
      <c r="T60" s="126"/>
    </row>
    <row r="61" customFormat="false" ht="15.75" hidden="false" customHeight="true" outlineLevel="0" collapsed="false">
      <c r="A61" s="157" t="s">
        <v>36</v>
      </c>
      <c r="B61" s="139" t="n">
        <f aca="true">COUNTIFS('Game History'!A:A,("&gt;"&amp;(TODAY()-365)),'Game History'!G:G,"MRDA",'Game History'!H:H,"Champs",'Game History'!I:I,Instructions!A78)+COUNTIFS('Game History'!A:A,("&gt;"&amp;(TODAY()-365)),'Game History'!G:G,"MRDA",'Game History'!H:H,"Playoff",'Game History'!I:I,Instructions!A78)+COUNTIFS('Game History'!A:A,("&gt;"&amp;(TODAY()-365)),'Game History'!G:G,"MRDA",'Game History'!H:H,"Champs",'Game History'!J:J,Instructions!A78)+COUNTIFS('Game History'!A:A,("&gt;"&amp;(TODAY()-365)),'Game History'!G:G,"MRDA",'Game History'!H:H,"Playoff",'Game History'!J:J,Instructions!A78)</f>
        <v>0</v>
      </c>
      <c r="C61" s="139" t="n">
        <f aca="true">COUNTIFS('Game History'!A:A,("&gt;"&amp;(TODAY()-365)),'Game History'!G:G,"MRDA",'Game History'!H:H,"Sanc",'Game History'!I:I,Instructions!A78)+COUNTIFS('Game History'!A:A,("&gt;"&amp;(TODAY()-365)),'Game History'!G:G,"MRDA",'Game History'!H:H,"Sanc",'Game History'!J:J,Instructions!A78)</f>
        <v>0</v>
      </c>
      <c r="D61" s="139" t="n">
        <f aca="true">COUNTIFS('Game History'!A:A,("&gt;"&amp;(TODAY()-365)),'Game History'!G:G,"MRDA",'Game History'!H:H,"Reg",'Game History'!I:I,Instructions!A78)+COUNTIFS('Game History'!A:A,("&gt;"&amp;(TODAY()-365)),'Game History'!G:G,"MRDA",'Game History'!H:H,"Reg",'Game History'!J:J,Instructions!A78)</f>
        <v>0</v>
      </c>
      <c r="E61" s="136" t="n">
        <f aca="false">SUM(B61+C61+D61)</f>
        <v>0</v>
      </c>
      <c r="F61" s="135" t="n">
        <f aca="true">COUNTIFS('Game History'!A:A,("&gt;"&amp;(TODAY()-365)),'Game History'!G:G,"MRDA",'Game History'!I:I,A61,'Game History'!K:K,"Y")+COUNTIFS('Game History'!A:A,("&gt;"&amp;(TODAY()-365)),'Game History'!G:G,"MRDA",'Game History'!J:J,A61,'Game History'!K:K,"Y")</f>
        <v>0</v>
      </c>
      <c r="G61" s="126"/>
      <c r="H61" s="158" t="s">
        <v>36</v>
      </c>
      <c r="I61" s="135" t="n">
        <f aca="true">COUNTIFS('Game History'!A:A,("&gt;"&amp;(TODAY()-548)),'Game History'!G:G,"MRDA",'Game History'!H:H,"Champs",'Game History'!I:I,Instructions!A78)+COUNTIFS('Game History'!A:A,("&gt;"&amp;(TODAY()-548)),'Game History'!G:G,"MRDA",'Game History'!H:H,"Playoff",'Game History'!I:I,Instructions!A78)+COUNTIFS('Game History'!A:A,("&gt;"&amp;(TODAY()-548)),'Game History'!G:G,"MRDA",'Game History'!H:H,"Champs",'Game History'!J:J,Instructions!A78)+COUNTIFS('Game History'!A:A,("&gt;"&amp;(TODAY()-548)),'Game History'!G:G,"MRDA",'Game History'!H:H,"Playoff",'Game History'!J:J,Instructions!A78)</f>
        <v>0</v>
      </c>
      <c r="J61" s="135" t="n">
        <f aca="true">COUNTIFS('Game History'!A:A,("&gt;"&amp;(TODAY()-548)),'Game History'!G:G,"MRDA",'Game History'!H:H,"Sanc",'Game History'!I:I,Instructions!A78)+COUNTIFS('Game History'!A:A,("&gt;"&amp;(TODAY()-548)),'Game History'!G:G,"MRDA",'Game History'!H:H,"Sanc",'Game History'!J:J,Instructions!A78)</f>
        <v>0</v>
      </c>
      <c r="K61" s="139" t="n">
        <f aca="true">COUNTIFS('Game History'!A:A,("&gt;"&amp;(TODAY()-548)),'Game History'!G:G,"MRDA",'Game History'!H:H,"Reg",'Game History'!I:I,Instructions!A78)+COUNTIFS('Game History'!A:A,("&gt;"&amp;(TODAY()-548)),'Game History'!G:G,"MRDA",'Game History'!H:H,"Reg",'Game History'!J:J,Instructions!A78)</f>
        <v>0</v>
      </c>
      <c r="L61" s="136" t="n">
        <f aca="false">SUM(I61+J61+K61)</f>
        <v>0</v>
      </c>
      <c r="M61" s="135" t="n">
        <f aca="true">COUNTIFS('Game History'!A:A,("&gt;"&amp;(TODAY()-548)),'Game History'!G:G,"MRDA",'Game History'!I:I,A61,'Game History'!K:K,"Y")+COUNTIFS('Game History'!A:A,("&gt;"&amp;(TODAY()-548)),'Game History'!G:G,"MRDA",'Game History'!J:J,A61,'Game History'!K:K,"Y")</f>
        <v>0</v>
      </c>
      <c r="Q61" s="126"/>
      <c r="R61" s="126"/>
      <c r="S61" s="126"/>
      <c r="T61" s="126"/>
    </row>
    <row r="62" customFormat="false" ht="15.75" hidden="false" customHeight="true" outlineLevel="0" collapsed="false">
      <c r="A62" s="157" t="s">
        <v>40</v>
      </c>
      <c r="B62" s="139" t="n">
        <f aca="true">COUNTIFS('Game History'!A:A,("&gt;"&amp;(TODAY()-365)),'Game History'!G:G,"MRDA",'Game History'!H:H,"Champs",'Game History'!I:I,Instructions!A79)+COUNTIFS('Game History'!A:A,("&gt;"&amp;(TODAY()-365)),'Game History'!G:G,"MRDA",'Game History'!H:H,"Playoff",'Game History'!I:I,Instructions!A79)+COUNTIFS('Game History'!A:A,("&gt;"&amp;(TODAY()-365)),'Game History'!G:G,"MRDA",'Game History'!H:H,"Champs",'Game History'!J:J,Instructions!A79)+COUNTIFS('Game History'!A:A,("&gt;"&amp;(TODAY()-365)),'Game History'!G:G,"MRDA",'Game History'!H:H,"Playoff",'Game History'!J:J,Instructions!A79)</f>
        <v>0</v>
      </c>
      <c r="C62" s="139" t="n">
        <f aca="true">COUNTIFS('Game History'!A:A,("&gt;"&amp;(TODAY()-365)),'Game History'!G:G,"MRDA",'Game History'!H:H,"Sanc",'Game History'!I:I,Instructions!A79)+COUNTIFS('Game History'!A:A,("&gt;"&amp;(TODAY()-365)),'Game History'!G:G,"MRDA",'Game History'!H:H,"Sanc",'Game History'!J:J,Instructions!A79)</f>
        <v>0</v>
      </c>
      <c r="D62" s="139" t="n">
        <f aca="true">COUNTIFS('Game History'!A:A,("&gt;"&amp;(TODAY()-365)),'Game History'!G:G,"MRDA",'Game History'!H:H,"Reg",'Game History'!I:I,Instructions!A79)+COUNTIFS('Game History'!A:A,("&gt;"&amp;(TODAY()-365)),'Game History'!G:G,"MRDA",'Game History'!H:H,"Reg",'Game History'!J:J,Instructions!A79)</f>
        <v>0</v>
      </c>
      <c r="E62" s="136" t="n">
        <f aca="false">SUM(B62+C62+D62)</f>
        <v>0</v>
      </c>
      <c r="F62" s="135" t="n">
        <f aca="true">COUNTIFS('Game History'!A:A,("&gt;"&amp;(TODAY()-365)),'Game History'!G:G,"MRDA",'Game History'!I:I,A62,'Game History'!K:K,"Y")+COUNTIFS('Game History'!A:A,("&gt;"&amp;(TODAY()-365)),'Game History'!G:G,"MRDA",'Game History'!J:J,A62,'Game History'!K:K,"Y")</f>
        <v>0</v>
      </c>
      <c r="G62" s="126"/>
      <c r="H62" s="158" t="s">
        <v>40</v>
      </c>
      <c r="I62" s="135" t="n">
        <f aca="true">COUNTIFS('Game History'!A:A,("&gt;"&amp;(TODAY()-548)),'Game History'!G:G,"MRDA",'Game History'!H:H,"Champs",'Game History'!I:I,Instructions!A79)+COUNTIFS('Game History'!A:A,("&gt;"&amp;(TODAY()-548)),'Game History'!G:G,"MRDA",'Game History'!H:H,"Playoff",'Game History'!I:I,Instructions!A79)+COUNTIFS('Game History'!A:A,("&gt;"&amp;(TODAY()-548)),'Game History'!G:G,"MRDA",'Game History'!H:H,"Champs",'Game History'!J:J,Instructions!A79)+COUNTIFS('Game History'!A:A,("&gt;"&amp;(TODAY()-548)),'Game History'!G:G,"MRDA",'Game History'!H:H,"Playoff",'Game History'!J:J,Instructions!A79)</f>
        <v>0</v>
      </c>
      <c r="J62" s="135" t="n">
        <f aca="true">COUNTIFS('Game History'!A:A,("&gt;"&amp;(TODAY()-548)),'Game History'!G:G,"MRDA",'Game History'!H:H,"Sanc",'Game History'!I:I,Instructions!A79)+COUNTIFS('Game History'!A:A,("&gt;"&amp;(TODAY()-548)),'Game History'!G:G,"MRDA",'Game History'!H:H,"Sanc",'Game History'!J:J,Instructions!A79)</f>
        <v>0</v>
      </c>
      <c r="K62" s="139" t="n">
        <f aca="true">COUNTIFS('Game History'!A:A,("&gt;"&amp;(TODAY()-548)),'Game History'!G:G,"MRDA",'Game History'!H:H,"Reg",'Game History'!I:I,Instructions!A79)+COUNTIFS('Game History'!A:A,("&gt;"&amp;(TODAY()-548)),'Game History'!G:G,"MRDA",'Game History'!H:H,"Reg",'Game History'!J:J,Instructions!A79)</f>
        <v>0</v>
      </c>
      <c r="L62" s="136" t="n">
        <f aca="false">SUM(I62+J62+K62)</f>
        <v>0</v>
      </c>
      <c r="M62" s="135" t="n">
        <f aca="true">COUNTIFS('Game History'!A:A,("&gt;"&amp;(TODAY()-548)),'Game History'!G:G,"MRDA",'Game History'!I:I,A62,'Game History'!K:K,"Y")+COUNTIFS('Game History'!A:A,("&gt;"&amp;(TODAY()-548)),'Game History'!G:G,"MRDA",'Game History'!J:J,A62,'Game History'!K:K,"Y")</f>
        <v>0</v>
      </c>
      <c r="Q62" s="126"/>
      <c r="R62" s="126"/>
      <c r="S62" s="126"/>
      <c r="T62" s="126"/>
    </row>
    <row r="63" customFormat="false" ht="15.75" hidden="false" customHeight="true" outlineLevel="0" collapsed="false">
      <c r="A63" s="157" t="s">
        <v>44</v>
      </c>
      <c r="B63" s="139" t="n">
        <f aca="true">COUNTIFS('Game History'!A:A,("&gt;"&amp;(TODAY()-365)),'Game History'!G:G,"MRDA",'Game History'!H:H,"Champs",'Game History'!I:I,Instructions!A80)+COUNTIFS('Game History'!A:A,("&gt;"&amp;(TODAY()-365)),'Game History'!G:G,"MRDA",'Game History'!H:H,"Playoff",'Game History'!I:I,Instructions!A80)+COUNTIFS('Game History'!A:A,("&gt;"&amp;(TODAY()-365)),'Game History'!G:G,"MRDA",'Game History'!H:H,"Champs",'Game History'!J:J,Instructions!A80)+COUNTIFS('Game History'!A:A,("&gt;"&amp;(TODAY()-365)),'Game History'!G:G,"MRDA",'Game History'!H:H,"Playoff",'Game History'!J:J,Instructions!A80)</f>
        <v>0</v>
      </c>
      <c r="C63" s="139" t="n">
        <f aca="true">COUNTIFS('Game History'!A:A,("&gt;"&amp;(TODAY()-365)),'Game History'!G:G,"MRDA",'Game History'!H:H,"Sanc",'Game History'!I:I,Instructions!A80)+COUNTIFS('Game History'!A:A,("&gt;"&amp;(TODAY()-365)),'Game History'!G:G,"MRDA",'Game History'!H:H,"Sanc",'Game History'!J:J,Instructions!A80)</f>
        <v>0</v>
      </c>
      <c r="D63" s="139" t="n">
        <f aca="true">COUNTIFS('Game History'!A:A,("&gt;"&amp;(TODAY()-365)),'Game History'!G:G,"MRDA",'Game History'!H:H,"Reg",'Game History'!I:I,Instructions!A80)+COUNTIFS('Game History'!A:A,("&gt;"&amp;(TODAY()-365)),'Game History'!G:G,"MRDA",'Game History'!H:H,"Reg",'Game History'!J:J,Instructions!A80)</f>
        <v>0</v>
      </c>
      <c r="E63" s="143" t="n">
        <f aca="false">SUM(B63+C63+D63)</f>
        <v>0</v>
      </c>
      <c r="F63" s="135" t="n">
        <f aca="true">COUNTIFS('Game History'!A:A,("&gt;"&amp;(TODAY()-365)),'Game History'!G:G,"MRDA",'Game History'!I:I,A63,'Game History'!K:K,"Y")+COUNTIFS('Game History'!A:A,("&gt;"&amp;(TODAY()-365)),'Game History'!G:G,"MRDA",'Game History'!J:J,A63,'Game History'!K:K,"Y")</f>
        <v>0</v>
      </c>
      <c r="G63" s="126"/>
      <c r="H63" s="158" t="s">
        <v>44</v>
      </c>
      <c r="I63" s="135" t="n">
        <f aca="true">COUNTIFS('Game History'!A:A,("&gt;"&amp;(TODAY()-548)),'Game History'!G:G,"MRDA",'Game History'!H:H,"Champs",'Game History'!I:I,Instructions!A80)+COUNTIFS('Game History'!A:A,("&gt;"&amp;(TODAY()-548)),'Game History'!G:G,"MRDA",'Game History'!H:H,"Playoff",'Game History'!I:I,Instructions!A80)+COUNTIFS('Game History'!A:A,("&gt;"&amp;(TODAY()-548)),'Game History'!G:G,"MRDA",'Game History'!H:H,"Champs",'Game History'!J:J,Instructions!A80)+COUNTIFS('Game History'!A:A,("&gt;"&amp;(TODAY()-548)),'Game History'!G:G,"MRDA",'Game History'!H:H,"Playoff",'Game History'!J:J,Instructions!A80)</f>
        <v>0</v>
      </c>
      <c r="J63" s="135" t="n">
        <f aca="true">COUNTIFS('Game History'!A:A,("&gt;"&amp;(TODAY()-548)),'Game History'!G:G,"MRDA",'Game History'!H:H,"Sanc",'Game History'!I:I,Instructions!A80)+COUNTIFS('Game History'!A:A,("&gt;"&amp;(TODAY()-548)),'Game History'!G:G,"MRDA",'Game History'!H:H,"Sanc",'Game History'!J:J,Instructions!A80)</f>
        <v>0</v>
      </c>
      <c r="K63" s="139" t="n">
        <f aca="true">COUNTIFS('Game History'!A:A,("&gt;"&amp;(TODAY()-548)),'Game History'!G:G,"MRDA",'Game History'!H:H,"Reg",'Game History'!I:I,Instructions!A80)+COUNTIFS('Game History'!A:A,("&gt;"&amp;(TODAY()-548)),'Game History'!G:G,"MRDA",'Game History'!H:H,"Reg",'Game History'!J:J,Instructions!A80)</f>
        <v>0</v>
      </c>
      <c r="L63" s="143" t="n">
        <f aca="false">SUM(I63+J63+K63)</f>
        <v>0</v>
      </c>
      <c r="M63" s="135" t="n">
        <f aca="true">COUNTIFS('Game History'!A:A,("&gt;"&amp;(TODAY()-548)),'Game History'!G:G,"MRDA",'Game History'!I:I,A63,'Game History'!K:K,"Y")+COUNTIFS('Game History'!A:A,("&gt;"&amp;(TODAY()-548)),'Game History'!G:G,"MRDA",'Game History'!J:J,A63,'Game History'!K:K,"Y")</f>
        <v>0</v>
      </c>
      <c r="Q63" s="126"/>
      <c r="R63" s="126"/>
      <c r="S63" s="126"/>
      <c r="T63" s="126"/>
    </row>
    <row r="64" customFormat="false" ht="15.75" hidden="false" customHeight="true" outlineLevel="0" collapsed="false">
      <c r="A64" s="157" t="s">
        <v>47</v>
      </c>
      <c r="B64" s="139" t="n">
        <f aca="true">COUNTIFS('Game History'!A:A,("&gt;"&amp;(TODAY()-365)),'Game History'!G:G,"MRDA",'Game History'!H:H,"Champs",'Game History'!I:I,Instructions!A81)+COUNTIFS('Game History'!A:A,("&gt;"&amp;(TODAY()-365)),'Game History'!G:G,"MRDA",'Game History'!H:H,"Playoff",'Game History'!I:I,Instructions!A81)+COUNTIFS('Game History'!A:A,("&gt;"&amp;(TODAY()-365)),'Game History'!G:G,"MRDA",'Game History'!H:H,"Champs",'Game History'!J:J,Instructions!A81)+COUNTIFS('Game History'!A:A,("&gt;"&amp;(TODAY()-365)),'Game History'!G:G,"MRDA",'Game History'!H:H,"Playoff",'Game History'!J:J,Instructions!A81)</f>
        <v>0</v>
      </c>
      <c r="C64" s="139" t="n">
        <f aca="true">COUNTIFS('Game History'!A:A,("&gt;"&amp;(TODAY()-365)),'Game History'!G:G,"MRDA",'Game History'!H:H,"Sanc",'Game History'!I:I,Instructions!A81)+COUNTIFS('Game History'!A:A,("&gt;"&amp;(TODAY()-365)),'Game History'!G:G,"MRDA",'Game History'!H:H,"Sanc",'Game History'!J:J,Instructions!A81)</f>
        <v>0</v>
      </c>
      <c r="D64" s="139" t="n">
        <f aca="true">COUNTIFS('Game History'!A:A,("&gt;"&amp;(TODAY()-365)),'Game History'!G:G,"MRDA",'Game History'!H:H,"Reg",'Game History'!I:I,Instructions!A81)+COUNTIFS('Game History'!A:A,("&gt;"&amp;(TODAY()-365)),'Game History'!G:G,"MRDA",'Game History'!H:H,"Reg",'Game History'!J:J,Instructions!A81)</f>
        <v>0</v>
      </c>
      <c r="E64" s="136" t="n">
        <f aca="false">SUM(B64+C64+D64)</f>
        <v>0</v>
      </c>
      <c r="F64" s="135" t="n">
        <f aca="true">COUNTIFS('Game History'!A:A,("&gt;"&amp;(TODAY()-365)),'Game History'!G:G,"MRDA",'Game History'!I:I,A64,'Game History'!K:K,"Y")+COUNTIFS('Game History'!A:A,("&gt;"&amp;(TODAY()-365)),'Game History'!G:G,"MRDA",'Game History'!J:J,A64,'Game History'!K:K,"Y")</f>
        <v>0</v>
      </c>
      <c r="G64" s="126"/>
      <c r="H64" s="158" t="s">
        <v>47</v>
      </c>
      <c r="I64" s="135" t="n">
        <f aca="true">COUNTIFS('Game History'!A:A,("&gt;"&amp;(TODAY()-548)),'Game History'!G:G,"MRDA",'Game History'!H:H,"Champs",'Game History'!I:I,Instructions!A81)+COUNTIFS('Game History'!A:A,("&gt;"&amp;(TODAY()-548)),'Game History'!G:G,"MRDA",'Game History'!H:H,"Playoff",'Game History'!I:I,Instructions!A81)+COUNTIFS('Game History'!A:A,("&gt;"&amp;(TODAY()-548)),'Game History'!G:G,"MRDA",'Game History'!H:H,"Champs",'Game History'!J:J,Instructions!A81)+COUNTIFS('Game History'!A:A,("&gt;"&amp;(TODAY()-548)),'Game History'!G:G,"MRDA",'Game History'!H:H,"Playoff",'Game History'!J:J,Instructions!A81)</f>
        <v>0</v>
      </c>
      <c r="J64" s="135" t="n">
        <f aca="true">COUNTIFS('Game History'!A:A,("&gt;"&amp;(TODAY()-548)),'Game History'!G:G,"MRDA",'Game History'!H:H,"Sanc",'Game History'!I:I,Instructions!A81)+COUNTIFS('Game History'!A:A,("&gt;"&amp;(TODAY()-548)),'Game History'!G:G,"MRDA",'Game History'!H:H,"Sanc",'Game History'!J:J,Instructions!A81)</f>
        <v>0</v>
      </c>
      <c r="K64" s="139" t="n">
        <f aca="true">COUNTIFS('Game History'!A:A,("&gt;"&amp;(TODAY()-548)),'Game History'!G:G,"MRDA",'Game History'!H:H,"Reg",'Game History'!I:I,Instructions!A81)+COUNTIFS('Game History'!A:A,("&gt;"&amp;(TODAY()-548)),'Game History'!G:G,"MRDA",'Game History'!H:H,"Reg",'Game History'!J:J,Instructions!A81)</f>
        <v>0</v>
      </c>
      <c r="L64" s="136" t="n">
        <f aca="false">SUM(I64+J64+K64)</f>
        <v>0</v>
      </c>
      <c r="M64" s="135" t="n">
        <f aca="true">COUNTIFS('Game History'!A:A,("&gt;"&amp;(TODAY()-548)),'Game History'!G:G,"MRDA",'Game History'!I:I,A64,'Game History'!K:K,"Y")+COUNTIFS('Game History'!A:A,("&gt;"&amp;(TODAY()-548)),'Game History'!G:G,"MRDA",'Game History'!J:J,A64,'Game History'!K:K,"Y")</f>
        <v>0</v>
      </c>
      <c r="Q64" s="126"/>
      <c r="R64" s="126"/>
      <c r="S64" s="126"/>
      <c r="T64" s="126"/>
    </row>
    <row r="65" customFormat="false" ht="15.75" hidden="false" customHeight="true" outlineLevel="0" collapsed="false">
      <c r="A65" s="157" t="s">
        <v>49</v>
      </c>
      <c r="B65" s="139" t="n">
        <f aca="true">COUNTIFS('Game History'!A:A,("&gt;"&amp;(TODAY()-365)),'Game History'!G:G,"MRDA",'Game History'!H:H,"Champs",'Game History'!I:I,Instructions!A82)+COUNTIFS('Game History'!A:A,("&gt;"&amp;(TODAY()-365)),'Game History'!G:G,"MRDA",'Game History'!H:H,"Playoff",'Game History'!I:I,Instructions!A82)+COUNTIFS('Game History'!A:A,("&gt;"&amp;(TODAY()-365)),'Game History'!G:G,"MRDA",'Game History'!H:H,"Champs",'Game History'!J:J,Instructions!A82)+COUNTIFS('Game History'!A:A,("&gt;"&amp;(TODAY()-365)),'Game History'!G:G,"MRDA",'Game History'!H:H,"Playoff",'Game History'!J:J,Instructions!A82)</f>
        <v>0</v>
      </c>
      <c r="C65" s="139" t="n">
        <f aca="true">COUNTIFS('Game History'!A:A,("&gt;"&amp;(TODAY()-365)),'Game History'!G:G,"MRDA",'Game History'!H:H,"Sanc",'Game History'!I:I,Instructions!A82)+COUNTIFS('Game History'!A:A,("&gt;"&amp;(TODAY()-365)),'Game History'!G:G,"MRDA",'Game History'!H:H,"Sanc",'Game History'!J:J,Instructions!A82)</f>
        <v>0</v>
      </c>
      <c r="D65" s="139" t="n">
        <f aca="true">COUNTIFS('Game History'!A:A,("&gt;"&amp;(TODAY()-365)),'Game History'!G:G,"MRDA",'Game History'!H:H,"Reg",'Game History'!I:I,Instructions!A82)+COUNTIFS('Game History'!A:A,("&gt;"&amp;(TODAY()-365)),'Game History'!G:G,"MRDA",'Game History'!H:H,"Reg",'Game History'!J:J,Instructions!A82)</f>
        <v>0</v>
      </c>
      <c r="E65" s="136" t="n">
        <f aca="false">SUM(B65+C65+D65)</f>
        <v>0</v>
      </c>
      <c r="F65" s="135" t="n">
        <f aca="true">COUNTIFS('Game History'!A:A,("&gt;"&amp;(TODAY()-365)),'Game History'!G:G,"MRDA",'Game History'!I:I,A65,'Game History'!K:K,"Y")+COUNTIFS('Game History'!A:A,("&gt;"&amp;(TODAY()-365)),'Game History'!G:G,"MRDA",'Game History'!J:J,A65,'Game History'!K:K,"Y")</f>
        <v>0</v>
      </c>
      <c r="G65" s="126"/>
      <c r="H65" s="158" t="s">
        <v>49</v>
      </c>
      <c r="I65" s="135" t="n">
        <f aca="true">COUNTIFS('Game History'!A:A,("&gt;"&amp;(TODAY()-548)),'Game History'!G:G,"MRDA",'Game History'!H:H,"Champs",'Game History'!I:I,Instructions!A82)+COUNTIFS('Game History'!A:A,("&gt;"&amp;(TODAY()-548)),'Game History'!G:G,"MRDA",'Game History'!H:H,"Playoff",'Game History'!I:I,Instructions!A82)+COUNTIFS('Game History'!A:A,("&gt;"&amp;(TODAY()-548)),'Game History'!G:G,"MRDA",'Game History'!H:H,"Champs",'Game History'!J:J,Instructions!A82)+COUNTIFS('Game History'!A:A,("&gt;"&amp;(TODAY()-548)),'Game History'!G:G,"MRDA",'Game History'!H:H,"Playoff",'Game History'!J:J,Instructions!A82)</f>
        <v>0</v>
      </c>
      <c r="J65" s="135" t="n">
        <f aca="true">COUNTIFS('Game History'!A:A,("&gt;"&amp;(TODAY()-548)),'Game History'!G:G,"MRDA",'Game History'!H:H,"Sanc",'Game History'!I:I,Instructions!A82)+COUNTIFS('Game History'!A:A,("&gt;"&amp;(TODAY()-548)),'Game History'!G:G,"MRDA",'Game History'!H:H,"Sanc",'Game History'!J:J,Instructions!A82)</f>
        <v>0</v>
      </c>
      <c r="K65" s="139" t="n">
        <f aca="true">COUNTIFS('Game History'!A:A,("&gt;"&amp;(TODAY()-548)),'Game History'!G:G,"MRDA",'Game History'!H:H,"Reg",'Game History'!I:I,Instructions!A82)+COUNTIFS('Game History'!A:A,("&gt;"&amp;(TODAY()-548)),'Game History'!G:G,"MRDA",'Game History'!H:H,"Reg",'Game History'!J:J,Instructions!A82)</f>
        <v>0</v>
      </c>
      <c r="L65" s="136" t="n">
        <f aca="false">SUM(I65+J65+K65)</f>
        <v>0</v>
      </c>
      <c r="M65" s="135" t="n">
        <f aca="true">COUNTIFS('Game History'!A:A,("&gt;"&amp;(TODAY()-548)),'Game History'!G:G,"MRDA",'Game History'!I:I,A65,'Game History'!K:K,"Y")+COUNTIFS('Game History'!A:A,("&gt;"&amp;(TODAY()-548)),'Game History'!G:G,"MRDA",'Game History'!J:J,A65,'Game History'!K:K,"Y")</f>
        <v>0</v>
      </c>
      <c r="Q65" s="126"/>
      <c r="R65" s="126"/>
      <c r="S65" s="126"/>
      <c r="T65" s="126"/>
    </row>
    <row r="66" customFormat="false" ht="15.75" hidden="false" customHeight="true" outlineLevel="0" collapsed="false">
      <c r="A66" s="157" t="s">
        <v>53</v>
      </c>
      <c r="B66" s="139" t="n">
        <f aca="true">COUNTIFS('Game History'!A:A,("&gt;"&amp;(TODAY()-365)),'Game History'!G:G,"MRDA",'Game History'!H:H,"Champs",'Game History'!I:I,Instructions!A83)+COUNTIFS('Game History'!A:A,("&gt;"&amp;(TODAY()-365)),'Game History'!G:G,"MRDA",'Game History'!H:H,"Playoff",'Game History'!I:I,Instructions!A83)+COUNTIFS('Game History'!A:A,("&gt;"&amp;(TODAY()-365)),'Game History'!G:G,"MRDA",'Game History'!H:H,"Champs",'Game History'!J:J,Instructions!A83)+COUNTIFS('Game History'!A:A,("&gt;"&amp;(TODAY()-365)),'Game History'!G:G,"MRDA",'Game History'!H:H,"Playoff",'Game History'!J:J,Instructions!A83)</f>
        <v>0</v>
      </c>
      <c r="C66" s="139" t="n">
        <f aca="true">COUNTIFS('Game History'!A:A,("&gt;"&amp;(TODAY()-365)),'Game History'!G:G,"MRDA",'Game History'!H:H,"Sanc",'Game History'!I:I,Instructions!A83)+COUNTIFS('Game History'!A:A,("&gt;"&amp;(TODAY()-365)),'Game History'!G:G,"MRDA",'Game History'!H:H,"Sanc",'Game History'!J:J,Instructions!A83)</f>
        <v>0</v>
      </c>
      <c r="D66" s="139" t="n">
        <f aca="true">COUNTIFS('Game History'!A:A,("&gt;"&amp;(TODAY()-365)),'Game History'!G:G,"MRDA",'Game History'!H:H,"Reg",'Game History'!I:I,Instructions!A83)+COUNTIFS('Game History'!A:A,("&gt;"&amp;(TODAY()-365)),'Game History'!G:G,"MRDA",'Game History'!H:H,"Reg",'Game History'!J:J,Instructions!A83)</f>
        <v>0</v>
      </c>
      <c r="E66" s="136" t="n">
        <f aca="false">SUM(B66+C66+D66)</f>
        <v>0</v>
      </c>
      <c r="F66" s="135" t="n">
        <f aca="true">COUNTIFS('Game History'!A:A,("&gt;"&amp;(TODAY()-365)),'Game History'!G:G,"MRDA",'Game History'!I:I,A66,'Game History'!K:K,"Y")+COUNTIFS('Game History'!A:A,("&gt;"&amp;(TODAY()-365)),'Game History'!G:G,"MRDA",'Game History'!J:J,A66,'Game History'!K:K,"Y")</f>
        <v>0</v>
      </c>
      <c r="G66" s="126"/>
      <c r="H66" s="158" t="s">
        <v>53</v>
      </c>
      <c r="I66" s="135" t="n">
        <f aca="true">COUNTIFS('Game History'!A:A,("&gt;"&amp;(TODAY()-548)),'Game History'!G:G,"MRDA",'Game History'!H:H,"Champs",'Game History'!I:I,Instructions!A83)+COUNTIFS('Game History'!A:A,("&gt;"&amp;(TODAY()-548)),'Game History'!G:G,"MRDA",'Game History'!H:H,"Playoff",'Game History'!I:I,Instructions!A83)+COUNTIFS('Game History'!A:A,("&gt;"&amp;(TODAY()-548)),'Game History'!G:G,"MRDA",'Game History'!H:H,"Champs",'Game History'!J:J,Instructions!A83)+COUNTIFS('Game History'!A:A,("&gt;"&amp;(TODAY()-548)),'Game History'!G:G,"MRDA",'Game History'!H:H,"Playoff",'Game History'!J:J,Instructions!A83)</f>
        <v>0</v>
      </c>
      <c r="J66" s="135" t="n">
        <f aca="true">COUNTIFS('Game History'!A:A,("&gt;"&amp;(TODAY()-548)),'Game History'!G:G,"MRDA",'Game History'!H:H,"Sanc",'Game History'!I:I,Instructions!A83)+COUNTIFS('Game History'!A:A,("&gt;"&amp;(TODAY()-548)),'Game History'!G:G,"MRDA",'Game History'!H:H,"Sanc",'Game History'!J:J,Instructions!A83)</f>
        <v>0</v>
      </c>
      <c r="K66" s="139" t="n">
        <f aca="true">COUNTIFS('Game History'!A:A,("&gt;"&amp;(TODAY()-548)),'Game History'!G:G,"MRDA",'Game History'!H:H,"Reg",'Game History'!I:I,Instructions!A83)+COUNTIFS('Game History'!A:A,("&gt;"&amp;(TODAY()-548)),'Game History'!G:G,"MRDA",'Game History'!H:H,"Reg",'Game History'!J:J,Instructions!A83)</f>
        <v>0</v>
      </c>
      <c r="L66" s="136" t="n">
        <f aca="false">SUM(I66+J66+K66)</f>
        <v>0</v>
      </c>
      <c r="M66" s="135" t="n">
        <f aca="true">COUNTIFS('Game History'!A:A,("&gt;"&amp;(TODAY()-548)),'Game History'!G:G,"MRDA",'Game History'!I:I,A66,'Game History'!K:K,"Y")+COUNTIFS('Game History'!A:A,("&gt;"&amp;(TODAY()-548)),'Game History'!G:G,"MRDA",'Game History'!J:J,A66,'Game History'!K:K,"Y")</f>
        <v>0</v>
      </c>
      <c r="Q66" s="126"/>
      <c r="R66" s="126"/>
      <c r="S66" s="126"/>
      <c r="T66" s="126"/>
    </row>
    <row r="67" customFormat="false" ht="15.75" hidden="false" customHeight="true" outlineLevel="0" collapsed="false">
      <c r="A67" s="157" t="s">
        <v>57</v>
      </c>
      <c r="B67" s="139" t="n">
        <f aca="true">COUNTIFS('Game History'!A:A,("&gt;"&amp;(TODAY()-365)),'Game History'!G:G,"MRDA",'Game History'!H:H,"Champs",'Game History'!I:I,Instructions!A84)+COUNTIFS('Game History'!A:A,("&gt;"&amp;(TODAY()-365)),'Game History'!G:G,"MRDA",'Game History'!H:H,"Playoff",'Game History'!I:I,Instructions!A84)+COUNTIFS('Game History'!A:A,("&gt;"&amp;(TODAY()-365)),'Game History'!G:G,"MRDA",'Game History'!H:H,"Champs",'Game History'!J:J,Instructions!A84)+COUNTIFS('Game History'!A:A,("&gt;"&amp;(TODAY()-365)),'Game History'!G:G,"MRDA",'Game History'!H:H,"Playoff",'Game History'!J:J,Instructions!A84)</f>
        <v>0</v>
      </c>
      <c r="C67" s="139" t="n">
        <f aca="true">COUNTIFS('Game History'!A:A,("&gt;"&amp;(TODAY()-365)),'Game History'!G:G,"MRDA",'Game History'!H:H,"Sanc",'Game History'!I:I,Instructions!A84)+COUNTIFS('Game History'!A:A,("&gt;"&amp;(TODAY()-365)),'Game History'!G:G,"MRDA",'Game History'!H:H,"Sanc",'Game History'!J:J,Instructions!A84)</f>
        <v>0</v>
      </c>
      <c r="D67" s="139" t="n">
        <f aca="true">COUNTIFS('Game History'!A:A,("&gt;"&amp;(TODAY()-365)),'Game History'!G:G,"MRDA",'Game History'!H:H,"Reg",'Game History'!I:I,Instructions!A84)+COUNTIFS('Game History'!A:A,("&gt;"&amp;(TODAY()-365)),'Game History'!G:G,"MRDA",'Game History'!H:H,"Reg",'Game History'!J:J,Instructions!A84)</f>
        <v>0</v>
      </c>
      <c r="E67" s="136" t="n">
        <f aca="false">SUM(B67+C67+D67)</f>
        <v>0</v>
      </c>
      <c r="F67" s="135" t="n">
        <f aca="true">COUNTIFS('Game History'!A:A,("&gt;"&amp;(TODAY()-365)),'Game History'!G:G,"MRDA",'Game History'!I:I,A67,'Game History'!K:K,"Y")+COUNTIFS('Game History'!A:A,("&gt;"&amp;(TODAY()-365)),'Game History'!G:G,"MRDA",'Game History'!J:J,A67,'Game History'!K:K,"Y")</f>
        <v>0</v>
      </c>
      <c r="G67" s="126"/>
      <c r="H67" s="158" t="s">
        <v>57</v>
      </c>
      <c r="I67" s="135" t="n">
        <f aca="true">COUNTIFS('Game History'!A:A,("&gt;"&amp;(TODAY()-548)),'Game History'!G:G,"MRDA",'Game History'!H:H,"Champs",'Game History'!I:I,Instructions!A84)+COUNTIFS('Game History'!A:A,("&gt;"&amp;(TODAY()-548)),'Game History'!G:G,"MRDA",'Game History'!H:H,"Playoff",'Game History'!I:I,Instructions!A84)+COUNTIFS('Game History'!A:A,("&gt;"&amp;(TODAY()-548)),'Game History'!G:G,"MRDA",'Game History'!H:H,"Champs",'Game History'!J:J,Instructions!A84)+COUNTIFS('Game History'!A:A,("&gt;"&amp;(TODAY()-548)),'Game History'!G:G,"MRDA",'Game History'!H:H,"Playoff",'Game History'!J:J,Instructions!A84)</f>
        <v>0</v>
      </c>
      <c r="J67" s="135" t="n">
        <f aca="true">COUNTIFS('Game History'!A:A,("&gt;"&amp;(TODAY()-548)),'Game History'!G:G,"MRDA",'Game History'!H:H,"Sanc",'Game History'!I:I,Instructions!A84)+COUNTIFS('Game History'!A:A,("&gt;"&amp;(TODAY()-548)),'Game History'!G:G,"MRDA",'Game History'!H:H,"Sanc",'Game History'!J:J,Instructions!A84)</f>
        <v>0</v>
      </c>
      <c r="K67" s="139" t="n">
        <f aca="true">COUNTIFS('Game History'!A:A,("&gt;"&amp;(TODAY()-548)),'Game History'!G:G,"MRDA",'Game History'!H:H,"Reg",'Game History'!I:I,Instructions!A84)+COUNTIFS('Game History'!A:A,("&gt;"&amp;(TODAY()-548)),'Game History'!G:G,"MRDA",'Game History'!H:H,"Reg",'Game History'!J:J,Instructions!A84)</f>
        <v>0</v>
      </c>
      <c r="L67" s="136" t="n">
        <f aca="false">SUM(I67+J67+K67)</f>
        <v>0</v>
      </c>
      <c r="M67" s="135" t="n">
        <f aca="true">COUNTIFS('Game History'!A:A,("&gt;"&amp;(TODAY()-548)),'Game History'!G:G,"MRDA",'Game History'!I:I,A67,'Game History'!K:K,"Y")+COUNTIFS('Game History'!A:A,("&gt;"&amp;(TODAY()-548)),'Game History'!G:G,"MRDA",'Game History'!J:J,A67,'Game History'!K:K,"Y")</f>
        <v>0</v>
      </c>
      <c r="Q67" s="126"/>
      <c r="R67" s="126"/>
      <c r="S67" s="126"/>
      <c r="T67" s="126"/>
    </row>
    <row r="68" customFormat="false" ht="15.75" hidden="false" customHeight="true" outlineLevel="0" collapsed="false">
      <c r="A68" s="157" t="s">
        <v>61</v>
      </c>
      <c r="B68" s="139" t="n">
        <f aca="true">COUNTIFS('Game History'!A:A,("&gt;"&amp;(TODAY()-365)),'Game History'!G:G,"MRDA",'Game History'!H:H,"Champs",'Game History'!I:I,Instructions!A85)+COUNTIFS('Game History'!A:A,("&gt;"&amp;(TODAY()-365)),'Game History'!G:G,"MRDA",'Game History'!H:H,"Playoff",'Game History'!I:I,Instructions!A85)+COUNTIFS('Game History'!A:A,("&gt;"&amp;(TODAY()-365)),'Game History'!G:G,"MRDA",'Game History'!H:H,"Champs",'Game History'!J:J,Instructions!A85)+COUNTIFS('Game History'!A:A,("&gt;"&amp;(TODAY()-365)),'Game History'!G:G,"MRDA",'Game History'!H:H,"Playoff",'Game History'!J:J,Instructions!A85)</f>
        <v>0</v>
      </c>
      <c r="C68" s="139" t="n">
        <f aca="true">COUNTIFS('Game History'!A:A,("&gt;"&amp;(TODAY()-365)),'Game History'!G:G,"MRDA",'Game History'!H:H,"Sanc",'Game History'!I:I,Instructions!A85)+COUNTIFS('Game History'!A:A,("&gt;"&amp;(TODAY()-365)),'Game History'!G:G,"MRDA",'Game History'!H:H,"Sanc",'Game History'!J:J,Instructions!A85)</f>
        <v>0</v>
      </c>
      <c r="D68" s="139" t="n">
        <f aca="true">COUNTIFS('Game History'!A:A,("&gt;"&amp;(TODAY()-365)),'Game History'!G:G,"MRDA",'Game History'!H:H,"Reg",'Game History'!I:I,Instructions!A85)+COUNTIFS('Game History'!A:A,("&gt;"&amp;(TODAY()-365)),'Game History'!G:G,"MRDA",'Game History'!H:H,"Reg",'Game History'!J:J,Instructions!A85)</f>
        <v>0</v>
      </c>
      <c r="E68" s="136" t="n">
        <f aca="false">SUM(B68+C68+D68)</f>
        <v>0</v>
      </c>
      <c r="F68" s="135" t="n">
        <f aca="true">COUNTIFS('Game History'!A:A,("&gt;"&amp;(TODAY()-365)),'Game History'!G:G,"MRDA",'Game History'!I:I,A68,'Game History'!K:K,"Y")+COUNTIFS('Game History'!A:A,("&gt;"&amp;(TODAY()-365)),'Game History'!G:G,"MRDA",'Game History'!J:J,A68,'Game History'!K:K,"Y")</f>
        <v>0</v>
      </c>
      <c r="G68" s="126"/>
      <c r="H68" s="158" t="s">
        <v>61</v>
      </c>
      <c r="I68" s="135" t="n">
        <f aca="true">COUNTIFS('Game History'!A:A,("&gt;"&amp;(TODAY()-548)),'Game History'!G:G,"MRDA",'Game History'!H:H,"Champs",'Game History'!I:I,Instructions!A85)+COUNTIFS('Game History'!A:A,("&gt;"&amp;(TODAY()-548)),'Game History'!G:G,"MRDA",'Game History'!H:H,"Playoff",'Game History'!I:I,Instructions!A85)+COUNTIFS('Game History'!A:A,("&gt;"&amp;(TODAY()-548)),'Game History'!G:G,"MRDA",'Game History'!H:H,"Champs",'Game History'!J:J,Instructions!A85)+COUNTIFS('Game History'!A:A,("&gt;"&amp;(TODAY()-548)),'Game History'!G:G,"MRDA",'Game History'!H:H,"Playoff",'Game History'!J:J,Instructions!A85)</f>
        <v>0</v>
      </c>
      <c r="J68" s="135" t="n">
        <f aca="true">COUNTIFS('Game History'!A:A,("&gt;"&amp;(TODAY()-548)),'Game History'!G:G,"MRDA",'Game History'!H:H,"Sanc",'Game History'!I:I,Instructions!A85)+COUNTIFS('Game History'!A:A,("&gt;"&amp;(TODAY()-548)),'Game History'!G:G,"MRDA",'Game History'!H:H,"Sanc",'Game History'!J:J,Instructions!A85)</f>
        <v>0</v>
      </c>
      <c r="K68" s="139" t="n">
        <f aca="true">COUNTIFS('Game History'!A:A,("&gt;"&amp;(TODAY()-548)),'Game History'!G:G,"MRDA",'Game History'!H:H,"Reg",'Game History'!I:I,Instructions!A85)+COUNTIFS('Game History'!A:A,("&gt;"&amp;(TODAY()-548)),'Game History'!G:G,"MRDA",'Game History'!H:H,"Reg",'Game History'!J:J,Instructions!A85)</f>
        <v>0</v>
      </c>
      <c r="L68" s="136" t="n">
        <f aca="false">SUM(I68+J68+K68)</f>
        <v>0</v>
      </c>
      <c r="M68" s="135" t="n">
        <f aca="true">COUNTIFS('Game History'!A:A,("&gt;"&amp;(TODAY()-548)),'Game History'!G:G,"MRDA",'Game History'!I:I,A68,'Game History'!K:K,"Y")+COUNTIFS('Game History'!A:A,("&gt;"&amp;(TODAY()-548)),'Game History'!G:G,"MRDA",'Game History'!J:J,A68,'Game History'!K:K,"Y")</f>
        <v>0</v>
      </c>
      <c r="Q68" s="126"/>
      <c r="R68" s="126"/>
      <c r="S68" s="126"/>
      <c r="T68" s="126"/>
    </row>
    <row r="69" customFormat="false" ht="15.75" hidden="false" customHeight="true" outlineLevel="0" collapsed="false">
      <c r="A69" s="157" t="s">
        <v>65</v>
      </c>
      <c r="B69" s="139" t="n">
        <f aca="true">COUNTIFS('Game History'!A:A,("&gt;"&amp;(TODAY()-365)),'Game History'!G:G,"MRDA",'Game History'!H:H,"Champs",'Game History'!I:I,Instructions!A86)+COUNTIFS('Game History'!A:A,("&gt;"&amp;(TODAY()-365)),'Game History'!G:G,"MRDA",'Game History'!H:H,"Playoff",'Game History'!I:I,Instructions!A86)+COUNTIFS('Game History'!A:A,("&gt;"&amp;(TODAY()-365)),'Game History'!G:G,"MRDA",'Game History'!H:H,"Champs",'Game History'!J:J,Instructions!A86)+COUNTIFS('Game History'!A:A,("&gt;"&amp;(TODAY()-365)),'Game History'!G:G,"MRDA",'Game History'!H:H,"Playoff",'Game History'!J:J,Instructions!A86)</f>
        <v>0</v>
      </c>
      <c r="C69" s="139" t="n">
        <f aca="true">COUNTIFS('Game History'!A:A,("&gt;"&amp;(TODAY()-365)),'Game History'!G:G,"MRDA",'Game History'!H:H,"Sanc",'Game History'!I:I,Instructions!A86)+COUNTIFS('Game History'!A:A,("&gt;"&amp;(TODAY()-365)),'Game History'!G:G,"MRDA",'Game History'!H:H,"Sanc",'Game History'!J:J,Instructions!A86)</f>
        <v>0</v>
      </c>
      <c r="D69" s="139" t="n">
        <f aca="true">COUNTIFS('Game History'!A:A,("&gt;"&amp;(TODAY()-365)),'Game History'!G:G,"MRDA",'Game History'!H:H,"Reg",'Game History'!I:I,Instructions!A86)+COUNTIFS('Game History'!A:A,("&gt;"&amp;(TODAY()-365)),'Game History'!G:G,"MRDA",'Game History'!H:H,"Reg",'Game History'!J:J,Instructions!A86)</f>
        <v>0</v>
      </c>
      <c r="E69" s="136" t="n">
        <f aca="false">SUM(B69+C69+D69)</f>
        <v>0</v>
      </c>
      <c r="F69" s="135" t="n">
        <f aca="true">COUNTIFS('Game History'!A:A,("&gt;"&amp;(TODAY()-365)),'Game History'!G:G,"MRDA",'Game History'!I:I,A69,'Game History'!K:K,"Y")+COUNTIFS('Game History'!A:A,("&gt;"&amp;(TODAY()-365)),'Game History'!G:G,"MRDA",'Game History'!J:J,A69,'Game History'!K:K,"Y")</f>
        <v>0</v>
      </c>
      <c r="G69" s="126"/>
      <c r="H69" s="158" t="s">
        <v>65</v>
      </c>
      <c r="I69" s="135" t="n">
        <f aca="true">COUNTIFS('Game History'!A:A,("&gt;"&amp;(TODAY()-548)),'Game History'!G:G,"MRDA",'Game History'!H:H,"Champs",'Game History'!I:I,Instructions!A86)+COUNTIFS('Game History'!A:A,("&gt;"&amp;(TODAY()-548)),'Game History'!G:G,"MRDA",'Game History'!H:H,"Playoff",'Game History'!I:I,Instructions!A86)+COUNTIFS('Game History'!A:A,("&gt;"&amp;(TODAY()-548)),'Game History'!G:G,"MRDA",'Game History'!H:H,"Champs",'Game History'!J:J,Instructions!A86)+COUNTIFS('Game History'!A:A,("&gt;"&amp;(TODAY()-548)),'Game History'!G:G,"MRDA",'Game History'!H:H,"Playoff",'Game History'!J:J,Instructions!A86)</f>
        <v>0</v>
      </c>
      <c r="J69" s="135" t="n">
        <f aca="true">COUNTIFS('Game History'!A:A,("&gt;"&amp;(TODAY()-548)),'Game History'!G:G,"MRDA",'Game History'!H:H,"Sanc",'Game History'!I:I,Instructions!A86)+COUNTIFS('Game History'!A:A,("&gt;"&amp;(TODAY()-548)),'Game History'!G:G,"MRDA",'Game History'!H:H,"Sanc",'Game History'!J:J,Instructions!A86)</f>
        <v>0</v>
      </c>
      <c r="K69" s="139" t="n">
        <f aca="true">COUNTIFS('Game History'!A:A,("&gt;"&amp;(TODAY()-548)),'Game History'!G:G,"MRDA",'Game History'!H:H,"Reg",'Game History'!I:I,Instructions!A86)+COUNTIFS('Game History'!A:A,("&gt;"&amp;(TODAY()-548)),'Game History'!G:G,"MRDA",'Game History'!H:H,"Reg",'Game History'!J:J,Instructions!A86)</f>
        <v>0</v>
      </c>
      <c r="L69" s="136" t="n">
        <f aca="false">SUM(I69+J69+K69)</f>
        <v>0</v>
      </c>
      <c r="M69" s="135" t="n">
        <f aca="true">COUNTIFS('Game History'!A:A,("&gt;"&amp;(TODAY()-548)),'Game History'!G:G,"MRDA",'Game History'!I:I,A69,'Game History'!K:K,"Y")+COUNTIFS('Game History'!A:A,("&gt;"&amp;(TODAY()-548)),'Game History'!G:G,"MRDA",'Game History'!J:J,A69,'Game History'!K:K,"Y")</f>
        <v>0</v>
      </c>
      <c r="Q69" s="126"/>
      <c r="R69" s="126"/>
      <c r="S69" s="126"/>
      <c r="T69" s="126"/>
    </row>
    <row r="70" customFormat="false" ht="15.75" hidden="false" customHeight="true" outlineLevel="0" collapsed="false">
      <c r="A70" s="157" t="s">
        <v>304</v>
      </c>
      <c r="B70" s="139" t="n">
        <f aca="true">COUNTIFS('Game History'!A:A,("&gt;"&amp;(TODAY()-365)),'Game History'!G:G,"MRDA",'Game History'!H:H,"Champs",'Game History'!I:I,Instructions!A88)+COUNTIFS('Game History'!A:A,("&gt;"&amp;(TODAY()-365)),'Game History'!G:G,"MRDA",'Game History'!H:H,"Playoff",'Game History'!I:I,Instructions!A88)</f>
        <v>0</v>
      </c>
      <c r="C70" s="135" t="n">
        <f aca="true">COUNTIFS('Game History'!A:A,("&gt;"&amp;(TODAY()-365)),'Game History'!G:G,"MRDA",'Game History'!H:H,"Sanc",'Game History'!I:I,Instructions!A88)</f>
        <v>0</v>
      </c>
      <c r="D70" s="139" t="n">
        <f aca="true">COUNTIFS('Game History'!A:A,("&gt;"&amp;(TODAY()-365)),'Game History'!G:G,"MRDA",'Game History'!H:H,"Reg",'Game History'!I:I,Instructions!A88)</f>
        <v>0</v>
      </c>
      <c r="E70" s="136" t="n">
        <f aca="false">SUM(B70+C70+D70)</f>
        <v>0</v>
      </c>
      <c r="F70" s="159"/>
      <c r="G70" s="126"/>
      <c r="H70" s="158" t="s">
        <v>304</v>
      </c>
      <c r="I70" s="135" t="n">
        <f aca="true">COUNTIFS('Game History'!A:A,("&gt;"&amp;(TODAY()-548)),'Game History'!G:G,"MRDA",'Game History'!H:H,"Champs",'Game History'!I:I,Instructions!A88)+COUNTIFS('Game History'!A:A,("&gt;"&amp;(TODAY()-548)),'Game History'!G:G,"MRDA",'Game History'!H:H,"Playoff",'Game History'!I:I,Instructions!A88)</f>
        <v>0</v>
      </c>
      <c r="J70" s="135" t="n">
        <f aca="true">COUNTIFS('Game History'!A:A,("&gt;"&amp;(TODAY()-548)),'Game History'!G:G,"MRDA",'Game History'!H:H,"Sanc",'Game History'!I:I,Instructions!A88)</f>
        <v>0</v>
      </c>
      <c r="K70" s="139" t="n">
        <f aca="true">COUNTIFS('Game History'!A:A,("&gt;"&amp;(TODAY()-548)),'Game History'!G:G,"MRDA",'Game History'!H:H,"Reg",'Game History'!I:I,Instructions!A88)</f>
        <v>0</v>
      </c>
      <c r="L70" s="136" t="n">
        <f aca="false">SUM(I70+J70+K70)</f>
        <v>0</v>
      </c>
      <c r="M70" s="160"/>
      <c r="Q70" s="126"/>
      <c r="R70" s="126"/>
      <c r="S70" s="126"/>
      <c r="T70" s="126"/>
    </row>
    <row r="71" customFormat="false" ht="15.75" hidden="false" customHeight="true" outlineLevel="0" collapsed="false">
      <c r="A71" s="157" t="s">
        <v>305</v>
      </c>
      <c r="B71" s="136" t="n">
        <f aca="false">SUM(B57:B70)</f>
        <v>0</v>
      </c>
      <c r="C71" s="140" t="n">
        <f aca="false">SUM(C57:C70)</f>
        <v>0</v>
      </c>
      <c r="D71" s="136" t="n">
        <f aca="false">SUM(D57:D70)</f>
        <v>0</v>
      </c>
      <c r="E71" s="136" t="n">
        <f aca="false">SUM(E57:E70)</f>
        <v>0</v>
      </c>
      <c r="F71" s="140" t="n">
        <f aca="false">SUM(F60:F69)</f>
        <v>0</v>
      </c>
      <c r="G71" s="126"/>
      <c r="H71" s="158" t="s">
        <v>305</v>
      </c>
      <c r="I71" s="136" t="n">
        <f aca="false">SUM(I57:I70)</f>
        <v>0</v>
      </c>
      <c r="J71" s="143" t="n">
        <f aca="false">SUM(J57:J70)</f>
        <v>0</v>
      </c>
      <c r="K71" s="136" t="n">
        <f aca="false">SUM(K57:K70)</f>
        <v>0</v>
      </c>
      <c r="L71" s="136" t="n">
        <f aca="false">SUM(L57:L70)</f>
        <v>0</v>
      </c>
      <c r="M71" s="136" t="n">
        <f aca="false">SUM(M60:M69)</f>
        <v>0</v>
      </c>
      <c r="Q71" s="126"/>
      <c r="R71" s="126"/>
      <c r="S71" s="126"/>
      <c r="T71" s="126"/>
    </row>
    <row r="72" customFormat="false" ht="15.75" hidden="false" customHeight="true" outlineLevel="0" collapsed="false">
      <c r="A72" s="128"/>
      <c r="B72" s="128"/>
      <c r="C72" s="128"/>
      <c r="D72" s="128"/>
      <c r="E72" s="128"/>
      <c r="F72" s="129"/>
      <c r="G72" s="126"/>
      <c r="H72" s="126"/>
      <c r="I72" s="128"/>
      <c r="J72" s="128"/>
      <c r="K72" s="128"/>
      <c r="L72" s="128"/>
      <c r="M72" s="129"/>
      <c r="N72" s="126"/>
      <c r="Q72" s="126"/>
      <c r="R72" s="126"/>
      <c r="S72" s="126"/>
      <c r="T72" s="126"/>
    </row>
    <row r="73" customFormat="false" ht="15.75" hidden="false" customHeight="true" outlineLevel="0" collapsed="false">
      <c r="A73" s="151" t="s">
        <v>308</v>
      </c>
      <c r="B73" s="151"/>
      <c r="C73" s="151"/>
      <c r="D73" s="151"/>
      <c r="E73" s="151"/>
      <c r="F73" s="145"/>
      <c r="G73" s="126"/>
      <c r="H73" s="161" t="s">
        <v>309</v>
      </c>
      <c r="I73" s="161"/>
      <c r="J73" s="161"/>
      <c r="K73" s="161"/>
      <c r="L73" s="161"/>
      <c r="M73" s="145"/>
      <c r="N73" s="126"/>
      <c r="Q73" s="126"/>
      <c r="R73" s="126"/>
      <c r="S73" s="126"/>
      <c r="T73" s="126"/>
    </row>
    <row r="74" customFormat="false" ht="15.75" hidden="false" customHeight="true" outlineLevel="0" collapsed="false">
      <c r="A74" s="157" t="s">
        <v>28</v>
      </c>
      <c r="B74" s="157"/>
      <c r="C74" s="157"/>
      <c r="D74" s="139" t="n">
        <f aca="false">SUM(E57:E59)</f>
        <v>0</v>
      </c>
      <c r="E74" s="139"/>
      <c r="F74" s="145"/>
      <c r="G74" s="126"/>
      <c r="H74" s="162" t="s">
        <v>28</v>
      </c>
      <c r="I74" s="162"/>
      <c r="J74" s="162"/>
      <c r="K74" s="163" t="n">
        <f aca="false">SUM(L57:L59)</f>
        <v>0</v>
      </c>
      <c r="L74" s="163"/>
      <c r="M74" s="145"/>
      <c r="N74" s="126"/>
      <c r="Q74" s="126"/>
      <c r="R74" s="126"/>
      <c r="S74" s="126"/>
      <c r="T74" s="126"/>
    </row>
    <row r="75" customFormat="false" ht="15.75" hidden="false" customHeight="true" outlineLevel="0" collapsed="false">
      <c r="A75" s="157" t="s">
        <v>310</v>
      </c>
      <c r="B75" s="157"/>
      <c r="C75" s="157"/>
      <c r="D75" s="139" t="n">
        <f aca="false">SUM(E60:E63)</f>
        <v>0</v>
      </c>
      <c r="E75" s="139"/>
      <c r="F75" s="145"/>
      <c r="G75" s="126"/>
      <c r="H75" s="162" t="s">
        <v>310</v>
      </c>
      <c r="I75" s="162"/>
      <c r="J75" s="162"/>
      <c r="K75" s="163" t="n">
        <f aca="false">SUM(L60:L63)</f>
        <v>0</v>
      </c>
      <c r="L75" s="163"/>
      <c r="M75" s="145"/>
      <c r="N75" s="126"/>
      <c r="Q75" s="126"/>
      <c r="R75" s="126"/>
      <c r="S75" s="126"/>
      <c r="T75" s="126"/>
    </row>
    <row r="76" customFormat="false" ht="15.75" hidden="false" customHeight="true" outlineLevel="0" collapsed="false">
      <c r="A76" s="157" t="s">
        <v>311</v>
      </c>
      <c r="B76" s="157"/>
      <c r="C76" s="157"/>
      <c r="D76" s="139" t="n">
        <f aca="false">SUM(E64:E66)</f>
        <v>0</v>
      </c>
      <c r="E76" s="139"/>
      <c r="F76" s="145"/>
      <c r="G76" s="126"/>
      <c r="H76" s="162" t="s">
        <v>316</v>
      </c>
      <c r="I76" s="162"/>
      <c r="J76" s="162"/>
      <c r="K76" s="163" t="n">
        <f aca="false">SUM(L64:L66)</f>
        <v>0</v>
      </c>
      <c r="L76" s="163"/>
      <c r="M76" s="145"/>
      <c r="N76" s="126"/>
      <c r="Q76" s="126"/>
      <c r="R76" s="126"/>
      <c r="S76" s="126"/>
      <c r="T76" s="126"/>
    </row>
    <row r="77" customFormat="false" ht="15.75" hidden="false" customHeight="true" outlineLevel="0" collapsed="false">
      <c r="A77" s="157" t="s">
        <v>312</v>
      </c>
      <c r="B77" s="157"/>
      <c r="C77" s="157"/>
      <c r="D77" s="139" t="n">
        <f aca="false">SUM(E67:E69)</f>
        <v>0</v>
      </c>
      <c r="E77" s="139"/>
      <c r="F77" s="145"/>
      <c r="G77" s="126"/>
      <c r="H77" s="162" t="s">
        <v>312</v>
      </c>
      <c r="I77" s="162"/>
      <c r="J77" s="162"/>
      <c r="K77" s="163" t="n">
        <f aca="false">SUM(L67:L69)</f>
        <v>0</v>
      </c>
      <c r="L77" s="163"/>
      <c r="M77" s="145"/>
      <c r="N77" s="126"/>
      <c r="Q77" s="126"/>
      <c r="R77" s="126"/>
      <c r="S77" s="126"/>
      <c r="T77" s="126"/>
    </row>
    <row r="78" customFormat="false" ht="15.75" hidden="false" customHeight="true" outlineLevel="0" collapsed="false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</row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1">
    <mergeCell ref="A1:M1"/>
    <mergeCell ref="A2:M2"/>
    <mergeCell ref="A15:M15"/>
    <mergeCell ref="A34:E34"/>
    <mergeCell ref="H34:L34"/>
    <mergeCell ref="A35:C35"/>
    <mergeCell ref="D35:E35"/>
    <mergeCell ref="H35:J35"/>
    <mergeCell ref="K35:L35"/>
    <mergeCell ref="A36:C36"/>
    <mergeCell ref="D36:E36"/>
    <mergeCell ref="H36:J36"/>
    <mergeCell ref="K36:L36"/>
    <mergeCell ref="A37:C37"/>
    <mergeCell ref="D37:E37"/>
    <mergeCell ref="H37:J37"/>
    <mergeCell ref="K37:L37"/>
    <mergeCell ref="A38:C38"/>
    <mergeCell ref="D38:E38"/>
    <mergeCell ref="H38:J38"/>
    <mergeCell ref="K38:L38"/>
    <mergeCell ref="A41:M41"/>
    <mergeCell ref="A54:M54"/>
    <mergeCell ref="A73:E73"/>
    <mergeCell ref="H73:L73"/>
    <mergeCell ref="A74:C74"/>
    <mergeCell ref="D74:E74"/>
    <mergeCell ref="H74:J74"/>
    <mergeCell ref="K74:L74"/>
    <mergeCell ref="A75:C75"/>
    <mergeCell ref="D75:E75"/>
    <mergeCell ref="H75:J75"/>
    <mergeCell ref="K75:L75"/>
    <mergeCell ref="A76:C76"/>
    <mergeCell ref="D76:E76"/>
    <mergeCell ref="H76:J76"/>
    <mergeCell ref="K76:L76"/>
    <mergeCell ref="A77:C77"/>
    <mergeCell ref="D77:E77"/>
    <mergeCell ref="H77:J77"/>
    <mergeCell ref="K77:L7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17.38"/>
    <col collapsed="false" customWidth="true" hidden="false" outlineLevel="0" max="3" min="3" style="0" width="6.12"/>
    <col collapsed="false" customWidth="true" hidden="false" outlineLevel="0" max="7" min="4" style="0" width="7.88"/>
    <col collapsed="false" customWidth="true" hidden="false" outlineLevel="0" max="8" min="8" style="0" width="1.63"/>
    <col collapsed="false" customWidth="true" hidden="false" outlineLevel="0" max="9" min="9" style="0" width="19.25"/>
    <col collapsed="false" customWidth="true" hidden="false" outlineLevel="0" max="10" min="10" style="0" width="5.88"/>
    <col collapsed="false" customWidth="true" hidden="false" outlineLevel="0" max="14" min="11" style="0" width="7.75"/>
    <col collapsed="false" customWidth="true" hidden="false" outlineLevel="0" max="26" min="15" style="0" width="11.5"/>
  </cols>
  <sheetData>
    <row r="1" customFormat="false" ht="18" hidden="false" customHeight="true" outlineLevel="0" collapsed="false">
      <c r="A1" s="164" t="s">
        <v>317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customFormat="false" ht="18" hidden="false" customHeight="true" outlineLevel="0" collapsed="false">
      <c r="A2" s="165" t="s">
        <v>16</v>
      </c>
      <c r="B2" s="165"/>
      <c r="C2" s="166" t="s">
        <v>17</v>
      </c>
      <c r="D2" s="167" t="s">
        <v>18</v>
      </c>
      <c r="E2" s="167"/>
      <c r="F2" s="167"/>
      <c r="G2" s="167"/>
      <c r="H2" s="168"/>
      <c r="I2" s="169" t="s">
        <v>19</v>
      </c>
      <c r="J2" s="170" t="s">
        <v>17</v>
      </c>
      <c r="K2" s="171" t="s">
        <v>18</v>
      </c>
      <c r="L2" s="171"/>
      <c r="M2" s="171"/>
      <c r="N2" s="171"/>
    </row>
    <row r="3" customFormat="false" ht="28.5" hidden="false" customHeight="true" outlineLevel="0" collapsed="false">
      <c r="A3" s="165"/>
      <c r="B3" s="165"/>
      <c r="C3" s="166"/>
      <c r="D3" s="172" t="s">
        <v>20</v>
      </c>
      <c r="E3" s="173" t="s">
        <v>21</v>
      </c>
      <c r="F3" s="173" t="s">
        <v>22</v>
      </c>
      <c r="G3" s="173" t="s">
        <v>23</v>
      </c>
      <c r="H3" s="168"/>
      <c r="I3" s="169"/>
      <c r="J3" s="169"/>
      <c r="K3" s="174" t="s">
        <v>20</v>
      </c>
      <c r="L3" s="175" t="s">
        <v>21</v>
      </c>
      <c r="M3" s="175" t="s">
        <v>22</v>
      </c>
      <c r="N3" s="175" t="s">
        <v>23</v>
      </c>
    </row>
    <row r="4" customFormat="false" ht="15" hidden="false" customHeight="true" outlineLevel="0" collapsed="false">
      <c r="A4" s="165" t="s">
        <v>24</v>
      </c>
      <c r="B4" s="165"/>
      <c r="C4" s="176" t="s">
        <v>25</v>
      </c>
      <c r="D4" s="177" t="s">
        <v>26</v>
      </c>
      <c r="E4" s="105" t="n">
        <f aca="false">COUNTIFS('Other History'!H:H,"Sanc",'Other History'!I:I,Instructions!A70)</f>
        <v>0</v>
      </c>
      <c r="F4" s="105" t="n">
        <f aca="false">COUNTIFS('Other History'!H:H,"Reg",'Other History'!I:I,Instructions!A70)</f>
        <v>0</v>
      </c>
      <c r="G4" s="105" t="n">
        <f aca="false">COUNTIFS('Other History'!H:H,"Other",'Other History'!I:I,Instructions!A70)</f>
        <v>0</v>
      </c>
      <c r="H4" s="168"/>
      <c r="I4" s="178" t="s">
        <v>27</v>
      </c>
      <c r="J4" s="176" t="s">
        <v>28</v>
      </c>
      <c r="K4" s="177" t="s">
        <v>26</v>
      </c>
      <c r="L4" s="177" t="n">
        <f aca="false">COUNTIFS('Other History'!H:H,"Sanc",'Other History'!I:I,Instructions!A73)</f>
        <v>0</v>
      </c>
      <c r="M4" s="105" t="n">
        <f aca="false">COUNTIFS('Other History'!H:H,"Reg",'Other History'!I:I,Instructions!A73)</f>
        <v>0</v>
      </c>
      <c r="N4" s="105" t="n">
        <f aca="false">COUNTIFS('Other History'!H:H,"Other",'Other History'!I:I,Instructions!A73)</f>
        <v>0</v>
      </c>
    </row>
    <row r="5" customFormat="false" ht="15" hidden="false" customHeight="true" outlineLevel="0" collapsed="false">
      <c r="A5" s="165" t="s">
        <v>29</v>
      </c>
      <c r="B5" s="165"/>
      <c r="C5" s="176" t="s">
        <v>30</v>
      </c>
      <c r="D5" s="105" t="n">
        <f aca="false">COUNTIFS('Other History'!H:H,"Champs",'Other History'!I:I,Instructions!A74)+COUNTIFS('Other History'!H:H,"Playoff",'Other History'!I:I,Instructions!A74)</f>
        <v>0</v>
      </c>
      <c r="E5" s="105" t="n">
        <f aca="false">COUNTIFS('Other History'!H:H,"Sanc",'Other History'!I:I,Instructions!A74)</f>
        <v>0</v>
      </c>
      <c r="F5" s="105" t="n">
        <f aca="false">COUNTIFS('Other History'!H:H,"Reg",'Other History'!I:I,Instructions!A74)</f>
        <v>0</v>
      </c>
      <c r="G5" s="105" t="n">
        <f aca="false">COUNTIFS('Other History'!H:H,"Other",'Other History'!I:I,Instructions!A74)</f>
        <v>0</v>
      </c>
      <c r="H5" s="168"/>
      <c r="I5" s="178" t="s">
        <v>31</v>
      </c>
      <c r="J5" s="176" t="s">
        <v>32</v>
      </c>
      <c r="K5" s="105" t="n">
        <f aca="false">COUNTIFS('Other History'!H:H,"Champs",'Other History'!I:I,Instructions!A77)+COUNTIFS('Other History'!H:H,"Playoff",'Other History'!I:I,Instructions!A77)</f>
        <v>0</v>
      </c>
      <c r="L5" s="177" t="n">
        <f aca="false">COUNTIFS('Other History'!H:H,"Sanc",'Other History'!I:I,Instructions!A77)</f>
        <v>0</v>
      </c>
      <c r="M5" s="105" t="n">
        <f aca="false">COUNTIFS('Other History'!H:H,"Reg",'Other History'!I:I,Instructions!A77)</f>
        <v>0</v>
      </c>
      <c r="N5" s="105" t="n">
        <f aca="false">COUNTIFS('Other History'!H:H,"Other",'Other History'!I:I,Instructions!A77)</f>
        <v>0</v>
      </c>
    </row>
    <row r="6" customFormat="false" ht="15" hidden="false" customHeight="true" outlineLevel="0" collapsed="false">
      <c r="A6" s="165" t="s">
        <v>33</v>
      </c>
      <c r="B6" s="179"/>
      <c r="C6" s="176" t="s">
        <v>34</v>
      </c>
      <c r="D6" s="105" t="n">
        <f aca="false">COUNTIFS('Other History'!H:H,"Champs",'Other History'!I:I,Instructions!A75)+COUNTIFS('Other History'!H:H,"Playoff",'Other History'!I:I,Instructions!A75)</f>
        <v>0</v>
      </c>
      <c r="E6" s="105" t="n">
        <f aca="false">COUNTIFS('Other History'!H:H,"Sanc",'Other History'!I:I,Instructions!A75)</f>
        <v>0</v>
      </c>
      <c r="F6" s="105" t="n">
        <f aca="false">COUNTIFS('Other History'!H:H,"Reg",'Other History'!I:I,Instructions!A75)</f>
        <v>0</v>
      </c>
      <c r="G6" s="105" t="n">
        <f aca="false">COUNTIFS('Other History'!H:H,"Other",'Other History'!I:I,Instructions!A75)</f>
        <v>0</v>
      </c>
      <c r="H6" s="168"/>
      <c r="I6" s="178" t="s">
        <v>35</v>
      </c>
      <c r="J6" s="176" t="s">
        <v>36</v>
      </c>
      <c r="K6" s="105" t="n">
        <f aca="false">COUNTIFS('Other History'!H:H,"Champs",'Other History'!I:I,Instructions!A78)+COUNTIFS('Other History'!H:H,"Playoff",'Other History'!I:I,Instructions!A78)</f>
        <v>0</v>
      </c>
      <c r="L6" s="177" t="n">
        <f aca="false">COUNTIFS('Other History'!H:H,"Sanc",'Other History'!I:I,Instructions!A78)</f>
        <v>0</v>
      </c>
      <c r="M6" s="105" t="n">
        <f aca="false">COUNTIFS('Other History'!H:H,"Reg",'Other History'!I:I,Instructions!A78)</f>
        <v>0</v>
      </c>
      <c r="N6" s="105" t="n">
        <f aca="false">COUNTIFS('Other History'!H:H,"Other",'Other History'!I:I,Instructions!A78)</f>
        <v>0</v>
      </c>
    </row>
    <row r="7" customFormat="false" ht="15" hidden="false" customHeight="true" outlineLevel="0" collapsed="false">
      <c r="A7" s="165" t="s">
        <v>37</v>
      </c>
      <c r="B7" s="165"/>
      <c r="C7" s="176" t="s">
        <v>38</v>
      </c>
      <c r="D7" s="105" t="n">
        <f aca="false">COUNTIFS('Other History'!H:H,"Champs",'Other History'!I:I,Instructions!A76)+COUNTIFS('Other History'!H:H,"Playoff",'Other History'!I:I,Instructions!A76)</f>
        <v>0</v>
      </c>
      <c r="E7" s="105" t="n">
        <f aca="false">COUNTIFS('Other History'!H:H,"Sanc",'Other History'!I:I,Instructions!A76)</f>
        <v>0</v>
      </c>
      <c r="F7" s="105" t="n">
        <f aca="false">COUNTIFS('Other History'!H:H,"Reg",'Other History'!I:I,Instructions!A76)</f>
        <v>0</v>
      </c>
      <c r="G7" s="105" t="n">
        <f aca="false">COUNTIFS('Other History'!H:H,"Other",'Other History'!I:I,Instructions!A76)</f>
        <v>0</v>
      </c>
      <c r="H7" s="168"/>
      <c r="I7" s="178" t="s">
        <v>39</v>
      </c>
      <c r="J7" s="176" t="s">
        <v>40</v>
      </c>
      <c r="K7" s="105" t="n">
        <f aca="false">COUNTIFS('Other History'!H:H,"Champs",'Other History'!I:I,Instructions!A79)+COUNTIFS('Other History'!H:H,"Playoff",'Other History'!I:I,Instructions!A79)</f>
        <v>0</v>
      </c>
      <c r="L7" s="177" t="n">
        <f aca="false">COUNTIFS('Other History'!H:H,"Sanc",'Other History'!I:I,Instructions!A79)</f>
        <v>0</v>
      </c>
      <c r="M7" s="105" t="n">
        <f aca="false">COUNTIFS('Other History'!H:H,"Reg",'Other History'!I:I,Instructions!A79)</f>
        <v>0</v>
      </c>
      <c r="N7" s="105" t="n">
        <f aca="false">COUNTIFS('Other History'!H:H,"Other",'Other History'!I:I,Instructions!A79)</f>
        <v>0</v>
      </c>
    </row>
    <row r="8" customFormat="false" ht="15" hidden="false" customHeight="true" outlineLevel="0" collapsed="false">
      <c r="A8" s="165" t="s">
        <v>41</v>
      </c>
      <c r="B8" s="165"/>
      <c r="C8" s="176" t="s">
        <v>42</v>
      </c>
      <c r="D8" s="105" t="n">
        <f aca="false">COUNTIFS('Other History'!H:H,"Champs",'Other History'!I:I,Instructions!A87)+COUNTIFS('Other History'!H:H,"Playoff",'Other History'!I:I,Instructions!A87)</f>
        <v>0</v>
      </c>
      <c r="E8" s="105" t="n">
        <f aca="false">COUNTIFS('Other History'!H:H,"Sanc",'Other History'!I:I,Instructions!A87)</f>
        <v>0</v>
      </c>
      <c r="F8" s="105" t="n">
        <f aca="false">COUNTIFS('Other History'!H:H,"Reg",'Other History'!I:I,Instructions!A87)</f>
        <v>0</v>
      </c>
      <c r="G8" s="105" t="n">
        <f aca="false">COUNTIFS('Other History'!H:H,"Other",'Other History'!I:I,Instructions!A87)</f>
        <v>0</v>
      </c>
      <c r="H8" s="168"/>
      <c r="I8" s="178" t="s">
        <v>43</v>
      </c>
      <c r="J8" s="176" t="s">
        <v>44</v>
      </c>
      <c r="K8" s="105" t="n">
        <f aca="false">COUNTIFS('Other History'!H:H,"Champs",'Other History'!I:I,Instructions!A80)+COUNTIFS('Other History'!H:H,"Playoff",'Other History'!I:I,Instructions!A80)</f>
        <v>0</v>
      </c>
      <c r="L8" s="177" t="n">
        <f aca="false">COUNTIFS('Other History'!H:H,"Sanc",'Other History'!I:I,Instructions!A80)</f>
        <v>0</v>
      </c>
      <c r="M8" s="105" t="n">
        <f aca="false">COUNTIFS('Other History'!H:H,"Reg",'Other History'!I:I,Instructions!A80)</f>
        <v>0</v>
      </c>
      <c r="N8" s="105" t="n">
        <f aca="false">COUNTIFS('Other History'!H:H,"Other",'Other History'!I:I,Instructions!A80)</f>
        <v>0</v>
      </c>
    </row>
    <row r="9" customFormat="false" ht="15" hidden="false" customHeight="true" outlineLevel="0" collapsed="false">
      <c r="A9" s="180" t="s">
        <v>45</v>
      </c>
      <c r="B9" s="180"/>
      <c r="C9" s="180"/>
      <c r="D9" s="181" t="n">
        <f aca="false">SUM(D5:D8)</f>
        <v>0</v>
      </c>
      <c r="E9" s="181" t="n">
        <f aca="false">SUM(E4:E8)</f>
        <v>0</v>
      </c>
      <c r="F9" s="181" t="n">
        <f aca="false">SUM(F4:F8)</f>
        <v>0</v>
      </c>
      <c r="G9" s="181" t="n">
        <f aca="false">SUM(G4:G8)</f>
        <v>0</v>
      </c>
      <c r="H9" s="168"/>
      <c r="I9" s="178" t="s">
        <v>46</v>
      </c>
      <c r="J9" s="176" t="s">
        <v>47</v>
      </c>
      <c r="K9" s="105" t="n">
        <f aca="false">COUNTIFS('Other History'!H:H,"Champs",'Other History'!I:I,Instructions!A81)+COUNTIFS('Other History'!H:H,"Playoff",'Other History'!I:I,Instructions!A81)</f>
        <v>0</v>
      </c>
      <c r="L9" s="177" t="n">
        <f aca="false">COUNTIFS('Other History'!H:H,"Sanc",'Other History'!I:I,Instructions!A81)</f>
        <v>0</v>
      </c>
      <c r="M9" s="105" t="n">
        <f aca="false">COUNTIFS('Other History'!H:H,"Reg",'Other History'!I:I,Instructions!A81)</f>
        <v>0</v>
      </c>
      <c r="N9" s="105" t="n">
        <f aca="false">COUNTIFS('Other History'!H:H,"Other",'Other History'!I:I,Instructions!A81)</f>
        <v>0</v>
      </c>
    </row>
    <row r="10" customFormat="false" ht="15" hidden="false" customHeight="true" outlineLevel="0" collapsed="false">
      <c r="A10" s="182"/>
      <c r="B10" s="182"/>
      <c r="C10" s="182"/>
      <c r="D10" s="182"/>
      <c r="E10" s="182"/>
      <c r="F10" s="182"/>
      <c r="G10" s="182"/>
      <c r="H10" s="168"/>
      <c r="I10" s="178" t="s">
        <v>48</v>
      </c>
      <c r="J10" s="176" t="s">
        <v>49</v>
      </c>
      <c r="K10" s="105" t="n">
        <f aca="false">COUNTIFS('Other History'!H:H,"Champs",'Other History'!I:I,Instructions!A82)+COUNTIFS('Other History'!H:H,"Playoff",'Other History'!I:I,Instructions!A82)</f>
        <v>0</v>
      </c>
      <c r="L10" s="177" t="n">
        <f aca="false">COUNTIFS('Other History'!H:H,"Sanc",'Other History'!I:I,Instructions!A82)</f>
        <v>0</v>
      </c>
      <c r="M10" s="105" t="n">
        <f aca="false">COUNTIFS('Other History'!H:H,"Reg",'Other History'!I:I,Instructions!A82)</f>
        <v>0</v>
      </c>
      <c r="N10" s="105" t="n">
        <f aca="false">COUNTIFS('Other History'!H:H,"Other",'Other History'!I:I,Instructions!A82)</f>
        <v>0</v>
      </c>
    </row>
    <row r="11" customFormat="false" ht="15" hidden="false" customHeight="true" outlineLevel="0" collapsed="false">
      <c r="A11" s="165" t="s">
        <v>50</v>
      </c>
      <c r="B11" s="165"/>
      <c r="C11" s="176" t="s">
        <v>51</v>
      </c>
      <c r="D11" s="105" t="n">
        <f aca="false">COUNTIFS('Other History'!H:H,"Champs",'Other History'!I:I,Instructions!A68)+COUNTIFS('Other History'!H:H,"Playoff",'Other History'!I:I,Instructions!A68)</f>
        <v>0</v>
      </c>
      <c r="E11" s="105" t="n">
        <f aca="false">COUNTIFS('Other History'!H:H,"Sanc",'Other History'!I:I,Instructions!A68)</f>
        <v>0</v>
      </c>
      <c r="F11" s="105" t="n">
        <f aca="false">COUNTIFS('Other History'!H:H,"Reg",'Other History'!I:I,Instructions!A68)</f>
        <v>0</v>
      </c>
      <c r="G11" s="105" t="n">
        <f aca="false">COUNTIFS('Other History'!H:H,"Other",'Other History'!I:I,Instructions!A68)</f>
        <v>0</v>
      </c>
      <c r="H11" s="168"/>
      <c r="I11" s="178" t="s">
        <v>52</v>
      </c>
      <c r="J11" s="176" t="s">
        <v>53</v>
      </c>
      <c r="K11" s="105" t="n">
        <f aca="false">COUNTIFS('Other History'!H:H,"Champs",'Other History'!I:I,Instructions!A83)+COUNTIFS('Other History'!H:H,"Playoff",'Other History'!I:I,Instructions!A83)</f>
        <v>0</v>
      </c>
      <c r="L11" s="177" t="n">
        <f aca="false">COUNTIFS('Other History'!H:H,"Sanc",'Other History'!I:I,Instructions!A83)</f>
        <v>0</v>
      </c>
      <c r="M11" s="105" t="n">
        <f aca="false">COUNTIFS('Other History'!H:H,"Reg",'Other History'!I:I,Instructions!A83)</f>
        <v>0</v>
      </c>
      <c r="N11" s="105" t="n">
        <f aca="false">COUNTIFS('Other History'!H:H,"Other",'Other History'!I:I,Instructions!A83)</f>
        <v>0</v>
      </c>
    </row>
    <row r="12" customFormat="false" ht="15" hidden="false" customHeight="true" outlineLevel="0" collapsed="false">
      <c r="A12" s="165" t="s">
        <v>54</v>
      </c>
      <c r="B12" s="165"/>
      <c r="C12" s="176" t="s">
        <v>55</v>
      </c>
      <c r="D12" s="105" t="n">
        <f aca="false">COUNTIFS('Other History'!H:H,"Champs",'Other History'!I:I,Instructions!A69)+COUNTIFS('Other History'!H:H,"Playoff",'Other History'!I:I,Instructions!A69)+COUNTIFS('Other History'!H:H,"Champs",'Other History'!I:I,Instructions!A70)+COUNTIFS('Other History'!H:H,"Playoff",'Other History'!I:I,Instructions!A70)</f>
        <v>0</v>
      </c>
      <c r="E12" s="105" t="n">
        <f aca="false">COUNTIFS('Other History'!H:H,"Sanc",'Other History'!I:I,Instructions!A69)</f>
        <v>0</v>
      </c>
      <c r="F12" s="105" t="n">
        <f aca="false">COUNTIFS('Other History'!H:H,"Reg",'Other History'!I:I,Instructions!A69)</f>
        <v>0</v>
      </c>
      <c r="G12" s="105" t="n">
        <f aca="false">COUNTIFS('Other History'!H:H,"Other",'Other History'!I:I,Instructions!A69)</f>
        <v>0</v>
      </c>
      <c r="H12" s="168"/>
      <c r="I12" s="178" t="s">
        <v>56</v>
      </c>
      <c r="J12" s="176" t="s">
        <v>57</v>
      </c>
      <c r="K12" s="105" t="n">
        <f aca="false">COUNTIFS('Other History'!H:H,"Champs",'Other History'!I:I,Instructions!A84)+COUNTIFS('Other History'!H:H,"Playoff",'Other History'!I:I,Instructions!A84)</f>
        <v>0</v>
      </c>
      <c r="L12" s="177" t="n">
        <f aca="false">COUNTIFS('Other History'!H:H,"Sanc",'Other History'!I:I,Instructions!A84)</f>
        <v>0</v>
      </c>
      <c r="M12" s="105" t="n">
        <f aca="false">COUNTIFS('Other History'!H:H,"Reg",'Other History'!I:I,Instructions!A84)</f>
        <v>0</v>
      </c>
      <c r="N12" s="105" t="n">
        <f aca="false">COUNTIFS('Other History'!H:H,"Other",'Other History'!I:I,Instructions!A84)</f>
        <v>0</v>
      </c>
    </row>
    <row r="13" customFormat="false" ht="15" hidden="false" customHeight="true" outlineLevel="0" collapsed="false">
      <c r="A13" s="183" t="s">
        <v>58</v>
      </c>
      <c r="B13" s="183"/>
      <c r="C13" s="184" t="s">
        <v>59</v>
      </c>
      <c r="D13" s="105" t="n">
        <f aca="false">COUNTIFS('Other History'!H:H,"Champs",'Other History'!I:I,Instructions!A67)+COUNTIFS('Other History'!H:H,"Playoff",'Other History'!I:I,Instructions!A67)</f>
        <v>0</v>
      </c>
      <c r="E13" s="105" t="n">
        <f aca="false">COUNTIFS('Other History'!H:H,"Sanc",'Other History'!I:I,Instructions!A67)</f>
        <v>0</v>
      </c>
      <c r="F13" s="105" t="n">
        <f aca="false">COUNTIFS('Other History'!H:H,"Reg",'Other History'!I:I,Instructions!A67)</f>
        <v>0</v>
      </c>
      <c r="G13" s="105" t="n">
        <f aca="false">COUNTIFS('Other History'!H:H,"Other",'Other History'!I:I,Instructions!A67)</f>
        <v>0</v>
      </c>
      <c r="H13" s="168"/>
      <c r="I13" s="178" t="s">
        <v>60</v>
      </c>
      <c r="J13" s="176" t="s">
        <v>61</v>
      </c>
      <c r="K13" s="105" t="n">
        <f aca="false">COUNTIFS('Other History'!H:H,"Champs",'Other History'!I:I,Instructions!A85)+COUNTIFS('Other History'!H:H,"Playoff",'Other History'!I:I,Instructions!A85)</f>
        <v>0</v>
      </c>
      <c r="L13" s="177" t="n">
        <f aca="false">COUNTIFS('Other History'!H:H,"Sanc",'Other History'!I:I,Instructions!A85)</f>
        <v>0</v>
      </c>
      <c r="M13" s="105" t="n">
        <f aca="false">COUNTIFS('Other History'!H:H,"Reg",'Other History'!I:I,Instructions!A85)</f>
        <v>0</v>
      </c>
      <c r="N13" s="105" t="n">
        <f aca="false">COUNTIFS('Other History'!H:H,"Other",'Other History'!I:I,Instructions!A85)</f>
        <v>0</v>
      </c>
    </row>
    <row r="14" customFormat="false" ht="15" hidden="false" customHeight="true" outlineLevel="0" collapsed="false">
      <c r="A14" s="185" t="s">
        <v>62</v>
      </c>
      <c r="B14" s="185"/>
      <c r="C14" s="176" t="s">
        <v>63</v>
      </c>
      <c r="D14" s="105" t="n">
        <f aca="false">COUNTIFS('Other History'!H:H,"Champs",'Other History'!I:I,Instructions!A71)+COUNTIFS('Other History'!H:H,"Playoff",'Other History'!I:I,Instructions!A71)</f>
        <v>0</v>
      </c>
      <c r="E14" s="105" t="n">
        <f aca="false">COUNTIFS('Other History'!H:H,"Sanc",'Other History'!I:I,Instructions!A71)</f>
        <v>0</v>
      </c>
      <c r="F14" s="105" t="n">
        <f aca="false">COUNTIFS('Other History'!H:H,"Reg",'Other History'!I:I,Instructions!A71)</f>
        <v>0</v>
      </c>
      <c r="G14" s="105" t="n">
        <f aca="false">COUNTIFS('Other History'!H:H,"Other",'Other History'!I:I,Instructions!A71)</f>
        <v>0</v>
      </c>
      <c r="H14" s="168"/>
      <c r="I14" s="178" t="s">
        <v>64</v>
      </c>
      <c r="J14" s="176" t="s">
        <v>65</v>
      </c>
      <c r="K14" s="105" t="n">
        <f aca="false">COUNTIFS('Other History'!H:H,"Champs",'Other History'!I:I,Instructions!A86)+COUNTIFS('Other History'!H:H,"Playoff",'Other History'!I:I,Instructions!A86)</f>
        <v>0</v>
      </c>
      <c r="L14" s="177" t="n">
        <f aca="false">COUNTIFS('Other History'!H:H,"Sanc",'Other History'!I:I,Instructions!A86)</f>
        <v>0</v>
      </c>
      <c r="M14" s="105" t="n">
        <f aca="false">COUNTIFS('Other History'!H:H,"Reg",'Other History'!I:I,Instructions!A86)</f>
        <v>0</v>
      </c>
      <c r="N14" s="105" t="n">
        <f aca="false">COUNTIFS('Other History'!H:H,"Other",'Other History'!I:I,Instructions!A86)</f>
        <v>0</v>
      </c>
    </row>
    <row r="15" customFormat="false" ht="15" hidden="false" customHeight="true" outlineLevel="0" collapsed="false">
      <c r="A15" s="185" t="s">
        <v>66</v>
      </c>
      <c r="B15" s="185"/>
      <c r="C15" s="176" t="s">
        <v>67</v>
      </c>
      <c r="D15" s="105" t="n">
        <f aca="false">COUNTIFS('Other History'!H:H,"Champs",'Other History'!I:I,Instructions!A72)+COUNTIFS('Other History'!H:H,"Playoff",'Other History'!I:I,Instructions!A72)+COUNTIFS('Other History'!H:H,"Champs",'Other History'!I:I,Instructions!A73)+COUNTIFS('Other History'!H:H,"Playoff",'Other History'!I:I,Instructions!A73)</f>
        <v>0</v>
      </c>
      <c r="E15" s="105" t="n">
        <f aca="false">COUNTIFS('Other History'!H:H,"Sanc",'Other History'!I:I,Instructions!A72)</f>
        <v>0</v>
      </c>
      <c r="F15" s="105" t="n">
        <f aca="false">COUNTIFS('Other History'!H:H,"Reg",'Other History'!I:I,Instructions!A72)</f>
        <v>0</v>
      </c>
      <c r="G15" s="105" t="n">
        <f aca="false">COUNTIFS('Other History'!H:H,"Other",'Other History'!I:I,Instructions!A72)</f>
        <v>0</v>
      </c>
      <c r="H15" s="168"/>
      <c r="I15" s="178" t="s">
        <v>68</v>
      </c>
      <c r="J15" s="176" t="s">
        <v>69</v>
      </c>
      <c r="K15" s="105" t="n">
        <f aca="false">COUNTIFS('Other History'!H:H,"Champs",'Other History'!I:I,Instructions!A88)+COUNTIFS('Other History'!H:H,"Playoff",'Other History'!I:I,Instructions!A88)</f>
        <v>0</v>
      </c>
      <c r="L15" s="177" t="n">
        <f aca="false">COUNTIFS('Other History'!H:H,"Sanc",'Other History'!I:I,Instructions!A88)</f>
        <v>0</v>
      </c>
      <c r="M15" s="105" t="n">
        <f aca="false">COUNTIFS('Other History'!H:H,"Reg",'Other History'!I:I,Instructions!A88)</f>
        <v>0</v>
      </c>
      <c r="N15" s="105" t="n">
        <f aca="false">COUNTIFS('Other History'!H:H,"Other",'Other History'!I:I,Instructions!A88)</f>
        <v>0</v>
      </c>
    </row>
    <row r="16" customFormat="false" ht="15" hidden="false" customHeight="true" outlineLevel="0" collapsed="false">
      <c r="A16" s="186"/>
      <c r="B16" s="182"/>
      <c r="C16" s="182"/>
      <c r="D16" s="182"/>
      <c r="E16" s="182"/>
      <c r="F16" s="182"/>
      <c r="G16" s="182"/>
      <c r="H16" s="168"/>
      <c r="I16" s="187" t="s">
        <v>70</v>
      </c>
      <c r="J16" s="187"/>
      <c r="K16" s="181" t="n">
        <f aca="false">SUM(K5:K15)</f>
        <v>0</v>
      </c>
      <c r="L16" s="181" t="n">
        <f aca="false">SUM(L4:L15)</f>
        <v>0</v>
      </c>
      <c r="M16" s="181" t="n">
        <f aca="false">SUM(M4:M15)</f>
        <v>0</v>
      </c>
      <c r="N16" s="181" t="n">
        <f aca="false">SUM(N4:N15)</f>
        <v>0</v>
      </c>
    </row>
    <row r="17" customFormat="false" ht="15.75" hidden="false" customHeight="true" outlineLevel="0" collapsed="false">
      <c r="A17" s="185" t="s">
        <v>318</v>
      </c>
      <c r="B17" s="185"/>
      <c r="C17" s="185"/>
      <c r="D17" s="185"/>
      <c r="E17" s="185"/>
      <c r="F17" s="185"/>
      <c r="G17" s="185"/>
      <c r="H17" s="168"/>
      <c r="I17" s="188" t="s">
        <v>72</v>
      </c>
      <c r="J17" s="188"/>
      <c r="K17" s="188"/>
      <c r="L17" s="188"/>
      <c r="M17" s="189" t="n">
        <f aca="false">COUNTIFS('Other History'!H:H,"JRDA",'Other History'!L:L,"Y")</f>
        <v>0</v>
      </c>
      <c r="N17" s="189"/>
    </row>
    <row r="18" customFormat="false" ht="1.5" hidden="false" customHeight="true" outlineLevel="0" collapsed="false">
      <c r="A18" s="190" t="s">
        <v>73</v>
      </c>
      <c r="B18" s="167" t="s">
        <v>74</v>
      </c>
      <c r="C18" s="167" t="s">
        <v>75</v>
      </c>
      <c r="D18" s="191" t="s">
        <v>73</v>
      </c>
      <c r="E18" s="167" t="s">
        <v>74</v>
      </c>
      <c r="F18" s="167"/>
      <c r="G18" s="167" t="s">
        <v>75</v>
      </c>
      <c r="H18" s="21"/>
      <c r="I18" s="182"/>
      <c r="J18" s="182"/>
      <c r="K18" s="182"/>
      <c r="L18" s="182"/>
      <c r="M18" s="182"/>
      <c r="N18" s="182"/>
    </row>
    <row r="19" customFormat="false" ht="15.75" hidden="false" customHeight="true" outlineLevel="0" collapsed="false">
      <c r="A19" s="192"/>
      <c r="B19" s="193"/>
      <c r="C19" s="193"/>
      <c r="D19" s="193"/>
      <c r="E19" s="95"/>
      <c r="F19" s="95"/>
      <c r="G19" s="139"/>
      <c r="H19" s="168"/>
      <c r="I19" s="194" t="s">
        <v>319</v>
      </c>
      <c r="J19" s="194"/>
      <c r="K19" s="171" t="s">
        <v>77</v>
      </c>
      <c r="L19" s="171"/>
      <c r="M19" s="171" t="s">
        <v>78</v>
      </c>
      <c r="N19" s="171"/>
    </row>
    <row r="20" customFormat="false" ht="16.5" hidden="false" customHeight="true" outlineLevel="0" collapsed="false">
      <c r="A20" s="192"/>
      <c r="B20" s="193"/>
      <c r="C20" s="193"/>
      <c r="D20" s="193"/>
      <c r="E20" s="95"/>
      <c r="F20" s="95"/>
      <c r="G20" s="139"/>
      <c r="H20" s="168"/>
      <c r="I20" s="194"/>
      <c r="J20" s="194"/>
      <c r="K20" s="171" t="s">
        <v>79</v>
      </c>
      <c r="L20" s="171" t="s">
        <v>80</v>
      </c>
      <c r="M20" s="171" t="s">
        <v>79</v>
      </c>
      <c r="N20" s="171" t="s">
        <v>80</v>
      </c>
    </row>
    <row r="21" customFormat="false" ht="15.75" hidden="false" customHeight="true" outlineLevel="0" collapsed="false">
      <c r="A21" s="192"/>
      <c r="B21" s="193"/>
      <c r="C21" s="193"/>
      <c r="D21" s="193"/>
      <c r="E21" s="98"/>
      <c r="F21" s="98"/>
      <c r="G21" s="139"/>
      <c r="H21" s="168"/>
      <c r="I21" s="194"/>
      <c r="J21" s="194"/>
      <c r="K21" s="105" t="n">
        <f aca="false">COUNTIFS('Other History'!A:A,("&gt;="&amp;Instructions!B103),'Other History'!I:I,Instructions!A68)+COUNTIFS('Other History'!A:A,("&gt;="&amp;Instructions!B103),'Other History'!I:I,Instructions!A69)+COUNTIFS('Other History'!A:A,("&gt;="&amp;Instructions!B103),'Other History'!I:I,Instructions!A70)+COUNTIFS('Other History'!A:A,("&gt;="&amp;Instructions!B103),'Other History'!I:I,Instructions!A74)+COUNTIFS('Other History'!A:A,("&gt;="&amp;Instructions!B103),'Other History'!I:I,Instructions!A75)+COUNTIFS('Other History'!A:A,("&gt;="&amp;Instructions!B103),'Other History'!I:I,Instructions!A76)+COUNTIFS('Other History'!A:A,("&gt;="&amp;Instructions!B103),'Other History'!I:I,Instructions!A87)</f>
        <v>0</v>
      </c>
      <c r="L21" s="105" t="n">
        <f aca="false">COUNTIFS('Other History'!A:A,("&gt;="&amp;Instructions!B103),'Other History'!I:I,Instructions!A71)+COUNTIFS('Other History'!A:A,("&gt;="&amp;Instructions!B103),'Other History'!I:I,Instructions!A72)+COUNTIFS('Other History'!A:A,("&gt;="&amp;Instructions!B103),'Other History'!I:I,Instructions!A73)+COUNTIFS('Other History'!A:A,("&gt;="&amp;Instructions!B103),'Other History'!I:I,Instructions!A77)+COUNTIFS('Other History'!A:A,("&gt;="&amp;Instructions!B103),'Other History'!I:I,Instructions!A78)+COUNTIFS('Other History'!A:A,("&gt;="&amp;Instructions!B103),'Other History'!I:I,Instructions!A79)+COUNTIFS('Other History'!A:A,("&gt;="&amp;Instructions!B103),'Other History'!I:I,Instructions!A80)+COUNTIFS('Other History'!A:A,("&gt;="&amp;Instructions!B103),'Other History'!I:I,Instructions!A81)+COUNTIFS('Other History'!A:A,("&gt;="&amp;Instructions!B103),'Other History'!I:I,Instructions!A82)+COUNTIFS('Other History'!A:A,("&gt;="&amp;Instructions!B103),'Other History'!I:I,Instructions!A83)+COUNTIFS('Other History'!A:A,("&gt;="&amp;Instructions!B103),'Other History'!I:I,Instructions!A84)+COUNTIFS('Other History'!A:A,("&gt;="&amp;Instructions!B103),'Other History'!I:I,Instructions!A85)+COUNTIFS('Other History'!A:A,("&gt;="&amp;Instructions!B103),'Other History'!I:I,Instructions!A86)+COUNTIFS('Other History'!A:A,("&gt;="&amp;Instructions!B103),'Other History'!I:I,Instructions!A88)</f>
        <v>0</v>
      </c>
      <c r="M21" s="177" t="n">
        <f aca="false">SUM(D9+E9+F9+G9+D11+E11+F11+G11+D12+E12+F12+G12)</f>
        <v>0</v>
      </c>
      <c r="N21" s="177" t="n">
        <f aca="false">SUM(K16+L16+M16+N16+D14+E14+F14+G14+D15+E15+F15+G15)</f>
        <v>0</v>
      </c>
    </row>
    <row r="22" customFormat="false" ht="16.5" hidden="false" customHeight="true" outlineLevel="0" collapsed="false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8">
    <mergeCell ref="A1:N1"/>
    <mergeCell ref="A2:B3"/>
    <mergeCell ref="C2:C3"/>
    <mergeCell ref="D2:G2"/>
    <mergeCell ref="I2:I3"/>
    <mergeCell ref="J2:J3"/>
    <mergeCell ref="K2:N2"/>
    <mergeCell ref="A4:B4"/>
    <mergeCell ref="A5:B5"/>
    <mergeCell ref="A7:B7"/>
    <mergeCell ref="A8:B8"/>
    <mergeCell ref="A9:C9"/>
    <mergeCell ref="A11:B11"/>
    <mergeCell ref="A12:B12"/>
    <mergeCell ref="A13:B13"/>
    <mergeCell ref="A14:B14"/>
    <mergeCell ref="A15:B15"/>
    <mergeCell ref="I16:J16"/>
    <mergeCell ref="A17:G17"/>
    <mergeCell ref="I17:L17"/>
    <mergeCell ref="M17:N17"/>
    <mergeCell ref="E18:F18"/>
    <mergeCell ref="E19:F19"/>
    <mergeCell ref="I19:J21"/>
    <mergeCell ref="K19:L19"/>
    <mergeCell ref="M19:N19"/>
    <mergeCell ref="E20:F20"/>
    <mergeCell ref="E21:F2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1.25"/>
    <col collapsed="false" customWidth="true" hidden="false" outlineLevel="0" max="3" min="3" style="0" width="23.5"/>
    <col collapsed="false" customWidth="true" hidden="false" outlineLevel="0" max="4" min="4" style="0" width="26.25"/>
    <col collapsed="false" customWidth="true" hidden="false" outlineLevel="0" max="5" min="5" style="0" width="27.75"/>
    <col collapsed="false" customWidth="true" hidden="false" outlineLevel="0" max="6" min="6" style="0" width="24.13"/>
    <col collapsed="false" customWidth="true" hidden="false" outlineLevel="0" max="7" min="7" style="0" width="7.75"/>
    <col collapsed="false" customWidth="true" hidden="false" outlineLevel="0" max="8" min="8" style="0" width="9.13"/>
    <col collapsed="false" customWidth="true" hidden="false" outlineLevel="0" max="9" min="9" style="0" width="7.88"/>
    <col collapsed="false" customWidth="true" hidden="false" outlineLevel="0" max="10" min="10" style="0" width="7.5"/>
    <col collapsed="false" customWidth="true" hidden="false" outlineLevel="0" max="11" min="11" style="0" width="7.12"/>
    <col collapsed="false" customWidth="true" hidden="false" outlineLevel="0" max="12" min="12" style="0" width="26.63"/>
    <col collapsed="false" customWidth="true" hidden="false" outlineLevel="0" max="13" min="13" style="0" width="22.38"/>
    <col collapsed="false" customWidth="true" hidden="false" outlineLevel="0" max="14" min="14" style="0" width="26.88"/>
    <col collapsed="false" customWidth="true" hidden="false" outlineLevel="0" max="26" min="15" style="0" width="11.5"/>
  </cols>
  <sheetData>
    <row r="1" customFormat="false" ht="45" hidden="false" customHeight="true" outlineLevel="0" collapsed="false">
      <c r="A1" s="195" t="s">
        <v>320</v>
      </c>
      <c r="B1" s="195"/>
      <c r="C1" s="195"/>
      <c r="D1" s="195"/>
      <c r="E1" s="195"/>
      <c r="F1" s="195"/>
      <c r="G1" s="196"/>
      <c r="H1" s="197"/>
      <c r="I1" s="197"/>
      <c r="J1" s="196"/>
      <c r="K1" s="197"/>
      <c r="L1" s="197"/>
      <c r="M1" s="197"/>
      <c r="N1" s="197"/>
    </row>
    <row r="2" customFormat="false" ht="15.75" hidden="false" customHeight="true" outlineLevel="0" collapsed="false">
      <c r="A2" s="198" t="s">
        <v>85</v>
      </c>
      <c r="B2" s="198"/>
      <c r="C2" s="198"/>
      <c r="D2" s="198" t="s">
        <v>86</v>
      </c>
      <c r="E2" s="198"/>
      <c r="F2" s="198"/>
      <c r="G2" s="199"/>
      <c r="H2" s="200"/>
      <c r="I2" s="201" t="s">
        <v>87</v>
      </c>
      <c r="J2" s="201"/>
      <c r="K2" s="202"/>
      <c r="L2" s="203" t="s">
        <v>88</v>
      </c>
      <c r="M2" s="203" t="s">
        <v>89</v>
      </c>
      <c r="N2" s="203" t="s">
        <v>90</v>
      </c>
    </row>
    <row r="3" customFormat="false" ht="27.75" hidden="false" customHeight="true" outlineLevel="0" collapsed="false">
      <c r="A3" s="111" t="s">
        <v>91</v>
      </c>
      <c r="B3" s="112" t="s">
        <v>92</v>
      </c>
      <c r="C3" s="112" t="s">
        <v>74</v>
      </c>
      <c r="D3" s="113" t="s">
        <v>93</v>
      </c>
      <c r="E3" s="204" t="s">
        <v>321</v>
      </c>
      <c r="F3" s="113" t="s">
        <v>322</v>
      </c>
      <c r="G3" s="205" t="s">
        <v>323</v>
      </c>
      <c r="H3" s="112" t="s">
        <v>97</v>
      </c>
      <c r="I3" s="112" t="s">
        <v>98</v>
      </c>
      <c r="J3" s="206" t="s">
        <v>324</v>
      </c>
      <c r="K3" s="114" t="s">
        <v>100</v>
      </c>
      <c r="L3" s="203"/>
      <c r="M3" s="203"/>
      <c r="N3" s="203"/>
    </row>
    <row r="4" customFormat="false" ht="15.75" hidden="false" customHeight="true" outlineLevel="0" collapsed="false">
      <c r="A4" s="207"/>
      <c r="B4" s="208"/>
      <c r="C4" s="208"/>
      <c r="D4" s="208"/>
      <c r="E4" s="208"/>
      <c r="F4" s="208"/>
      <c r="G4" s="81"/>
      <c r="H4" s="81"/>
      <c r="I4" s="81"/>
      <c r="J4" s="81"/>
      <c r="K4" s="81"/>
      <c r="L4" s="208"/>
      <c r="M4" s="208"/>
      <c r="N4" s="208"/>
    </row>
    <row r="5" customFormat="false" ht="14.25" hidden="false" customHeight="true" outlineLevel="0" collapsed="false">
      <c r="A5" s="209"/>
      <c r="B5" s="208"/>
      <c r="C5" s="210"/>
      <c r="D5" s="210"/>
      <c r="E5" s="210"/>
      <c r="F5" s="210"/>
      <c r="G5" s="81"/>
      <c r="H5" s="81"/>
      <c r="I5" s="81"/>
      <c r="J5" s="81"/>
      <c r="K5" s="81"/>
      <c r="L5" s="208"/>
      <c r="M5" s="208"/>
      <c r="N5" s="208"/>
    </row>
    <row r="6" customFormat="false" ht="14.25" hidden="false" customHeight="true" outlineLevel="0" collapsed="false">
      <c r="A6" s="209"/>
      <c r="B6" s="208"/>
      <c r="C6" s="210"/>
      <c r="D6" s="210"/>
      <c r="E6" s="210"/>
      <c r="F6" s="210"/>
      <c r="G6" s="81"/>
      <c r="H6" s="81"/>
      <c r="I6" s="81"/>
      <c r="J6" s="81"/>
      <c r="K6" s="81"/>
      <c r="L6" s="208"/>
      <c r="M6" s="208"/>
      <c r="N6" s="208"/>
    </row>
    <row r="7" customFormat="false" ht="14.25" hidden="false" customHeight="true" outlineLevel="0" collapsed="false">
      <c r="A7" s="209"/>
      <c r="B7" s="208"/>
      <c r="C7" s="210"/>
      <c r="D7" s="210"/>
      <c r="E7" s="210"/>
      <c r="F7" s="210"/>
      <c r="G7" s="81"/>
      <c r="H7" s="81"/>
      <c r="I7" s="81"/>
      <c r="J7" s="81"/>
      <c r="K7" s="81"/>
      <c r="L7" s="208"/>
      <c r="M7" s="208"/>
      <c r="N7" s="208"/>
    </row>
    <row r="8" customFormat="false" ht="14.25" hidden="false" customHeight="true" outlineLevel="0" collapsed="false">
      <c r="A8" s="209"/>
      <c r="B8" s="208"/>
      <c r="C8" s="210"/>
      <c r="D8" s="210"/>
      <c r="E8" s="210"/>
      <c r="F8" s="210"/>
      <c r="G8" s="81"/>
      <c r="H8" s="81"/>
      <c r="I8" s="81"/>
      <c r="J8" s="81"/>
      <c r="K8" s="81"/>
      <c r="L8" s="208"/>
      <c r="M8" s="208"/>
      <c r="N8" s="208"/>
    </row>
    <row r="9" customFormat="false" ht="14.25" hidden="false" customHeight="true" outlineLevel="0" collapsed="false">
      <c r="A9" s="209"/>
      <c r="B9" s="208"/>
      <c r="C9" s="210"/>
      <c r="D9" s="210"/>
      <c r="E9" s="210"/>
      <c r="F9" s="210"/>
      <c r="G9" s="81"/>
      <c r="H9" s="81"/>
      <c r="I9" s="81"/>
      <c r="J9" s="81"/>
      <c r="K9" s="81"/>
      <c r="L9" s="208"/>
      <c r="M9" s="208"/>
      <c r="N9" s="208"/>
    </row>
    <row r="10" customFormat="false" ht="14.25" hidden="false" customHeight="true" outlineLevel="0" collapsed="false">
      <c r="A10" s="209"/>
      <c r="B10" s="208"/>
      <c r="C10" s="210"/>
      <c r="D10" s="210"/>
      <c r="E10" s="210"/>
      <c r="F10" s="210"/>
      <c r="G10" s="81"/>
      <c r="H10" s="81"/>
      <c r="I10" s="81"/>
      <c r="J10" s="81"/>
      <c r="K10" s="81"/>
      <c r="L10" s="208"/>
      <c r="M10" s="208"/>
      <c r="N10" s="208"/>
    </row>
    <row r="11" customFormat="false" ht="14.25" hidden="false" customHeight="true" outlineLevel="0" collapsed="false">
      <c r="A11" s="209"/>
      <c r="B11" s="208"/>
      <c r="C11" s="210"/>
      <c r="D11" s="210"/>
      <c r="E11" s="210"/>
      <c r="F11" s="210"/>
      <c r="G11" s="81"/>
      <c r="H11" s="81"/>
      <c r="I11" s="81"/>
      <c r="J11" s="81"/>
      <c r="K11" s="81"/>
      <c r="L11" s="208"/>
      <c r="M11" s="208"/>
      <c r="N11" s="208"/>
    </row>
    <row r="12" customFormat="false" ht="14.25" hidden="false" customHeight="true" outlineLevel="0" collapsed="false">
      <c r="A12" s="209"/>
      <c r="B12" s="208"/>
      <c r="C12" s="210"/>
      <c r="D12" s="210"/>
      <c r="E12" s="210"/>
      <c r="F12" s="210"/>
      <c r="G12" s="81"/>
      <c r="H12" s="81"/>
      <c r="I12" s="81"/>
      <c r="J12" s="81"/>
      <c r="K12" s="81"/>
      <c r="L12" s="208"/>
      <c r="M12" s="208"/>
      <c r="N12" s="208"/>
    </row>
    <row r="13" customFormat="false" ht="14.25" hidden="false" customHeight="true" outlineLevel="0" collapsed="false">
      <c r="A13" s="209"/>
      <c r="B13" s="208"/>
      <c r="C13" s="210"/>
      <c r="D13" s="210"/>
      <c r="E13" s="210"/>
      <c r="F13" s="210"/>
      <c r="G13" s="81"/>
      <c r="H13" s="81"/>
      <c r="I13" s="81"/>
      <c r="J13" s="81"/>
      <c r="K13" s="81"/>
      <c r="L13" s="208"/>
      <c r="M13" s="208"/>
      <c r="N13" s="208"/>
    </row>
    <row r="14" customFormat="false" ht="14.25" hidden="false" customHeight="true" outlineLevel="0" collapsed="false">
      <c r="A14" s="209"/>
      <c r="B14" s="208"/>
      <c r="C14" s="210"/>
      <c r="D14" s="210"/>
      <c r="E14" s="210"/>
      <c r="F14" s="210"/>
      <c r="G14" s="81"/>
      <c r="H14" s="81"/>
      <c r="I14" s="81"/>
      <c r="J14" s="81"/>
      <c r="K14" s="81"/>
      <c r="L14" s="208"/>
      <c r="M14" s="208"/>
      <c r="N14" s="208"/>
    </row>
    <row r="15" customFormat="false" ht="14.25" hidden="false" customHeight="true" outlineLevel="0" collapsed="false">
      <c r="A15" s="209"/>
      <c r="B15" s="208"/>
      <c r="C15" s="210"/>
      <c r="D15" s="210"/>
      <c r="E15" s="210"/>
      <c r="F15" s="210"/>
      <c r="G15" s="81"/>
      <c r="H15" s="81"/>
      <c r="I15" s="81"/>
      <c r="J15" s="81"/>
      <c r="K15" s="81"/>
      <c r="L15" s="208"/>
      <c r="M15" s="208"/>
      <c r="N15" s="208"/>
    </row>
    <row r="16" customFormat="false" ht="14.25" hidden="false" customHeight="true" outlineLevel="0" collapsed="false">
      <c r="A16" s="209"/>
      <c r="B16" s="208"/>
      <c r="C16" s="210"/>
      <c r="D16" s="210"/>
      <c r="E16" s="210"/>
      <c r="F16" s="210"/>
      <c r="G16" s="81"/>
      <c r="H16" s="81"/>
      <c r="I16" s="81"/>
      <c r="J16" s="81"/>
      <c r="K16" s="81"/>
      <c r="L16" s="208"/>
      <c r="M16" s="208"/>
      <c r="N16" s="208"/>
    </row>
    <row r="17" customFormat="false" ht="14.25" hidden="false" customHeight="true" outlineLevel="0" collapsed="false">
      <c r="A17" s="209"/>
      <c r="B17" s="208"/>
      <c r="C17" s="210"/>
      <c r="D17" s="210"/>
      <c r="E17" s="210"/>
      <c r="F17" s="210"/>
      <c r="G17" s="81"/>
      <c r="H17" s="81"/>
      <c r="I17" s="81"/>
      <c r="J17" s="81"/>
      <c r="K17" s="81"/>
      <c r="L17" s="208"/>
      <c r="M17" s="208"/>
      <c r="N17" s="208"/>
    </row>
    <row r="18" customFormat="false" ht="14.25" hidden="false" customHeight="true" outlineLevel="0" collapsed="false">
      <c r="A18" s="209"/>
      <c r="B18" s="208"/>
      <c r="C18" s="210"/>
      <c r="D18" s="210"/>
      <c r="E18" s="210"/>
      <c r="F18" s="210"/>
      <c r="G18" s="81"/>
      <c r="H18" s="81"/>
      <c r="I18" s="81"/>
      <c r="J18" s="81"/>
      <c r="K18" s="81"/>
      <c r="L18" s="208"/>
      <c r="M18" s="208"/>
      <c r="N18" s="208"/>
    </row>
    <row r="19" customFormat="false" ht="14.25" hidden="false" customHeight="true" outlineLevel="0" collapsed="false">
      <c r="A19" s="209"/>
      <c r="B19" s="208"/>
      <c r="C19" s="210"/>
      <c r="D19" s="210"/>
      <c r="E19" s="210"/>
      <c r="F19" s="210"/>
      <c r="G19" s="81"/>
      <c r="H19" s="81"/>
      <c r="I19" s="81"/>
      <c r="J19" s="81"/>
      <c r="K19" s="81"/>
      <c r="L19" s="208"/>
      <c r="M19" s="208"/>
      <c r="N19" s="208"/>
    </row>
    <row r="20" customFormat="false" ht="14.25" hidden="false" customHeight="true" outlineLevel="0" collapsed="false">
      <c r="A20" s="209"/>
      <c r="B20" s="208"/>
      <c r="C20" s="210"/>
      <c r="D20" s="210"/>
      <c r="E20" s="210"/>
      <c r="F20" s="210"/>
      <c r="G20" s="81"/>
      <c r="H20" s="81"/>
      <c r="I20" s="81"/>
      <c r="J20" s="81"/>
      <c r="K20" s="81"/>
      <c r="L20" s="208"/>
      <c r="M20" s="208"/>
      <c r="N20" s="208"/>
    </row>
    <row r="21" customFormat="false" ht="14.25" hidden="false" customHeight="true" outlineLevel="0" collapsed="false">
      <c r="A21" s="209"/>
      <c r="B21" s="208"/>
      <c r="C21" s="210"/>
      <c r="D21" s="210"/>
      <c r="E21" s="210"/>
      <c r="F21" s="210"/>
      <c r="G21" s="81"/>
      <c r="H21" s="81"/>
      <c r="I21" s="81"/>
      <c r="J21" s="81"/>
      <c r="K21" s="81"/>
      <c r="L21" s="208"/>
      <c r="M21" s="208"/>
      <c r="N21" s="208"/>
    </row>
    <row r="22" customFormat="false" ht="14.25" hidden="false" customHeight="true" outlineLevel="0" collapsed="false">
      <c r="A22" s="209"/>
      <c r="B22" s="208"/>
      <c r="C22" s="210"/>
      <c r="D22" s="210"/>
      <c r="E22" s="210"/>
      <c r="F22" s="210"/>
      <c r="G22" s="81"/>
      <c r="H22" s="81"/>
      <c r="I22" s="81"/>
      <c r="J22" s="81"/>
      <c r="K22" s="81"/>
      <c r="L22" s="208"/>
      <c r="M22" s="208"/>
      <c r="N22" s="208"/>
    </row>
    <row r="23" customFormat="false" ht="14.25" hidden="false" customHeight="true" outlineLevel="0" collapsed="false">
      <c r="A23" s="209"/>
      <c r="B23" s="208"/>
      <c r="C23" s="210"/>
      <c r="D23" s="210"/>
      <c r="E23" s="210"/>
      <c r="F23" s="210"/>
      <c r="G23" s="81"/>
      <c r="H23" s="81"/>
      <c r="I23" s="81"/>
      <c r="J23" s="81"/>
      <c r="K23" s="81"/>
      <c r="L23" s="208"/>
      <c r="M23" s="208"/>
      <c r="N23" s="208"/>
    </row>
    <row r="24" customFormat="false" ht="14.25" hidden="false" customHeight="true" outlineLevel="0" collapsed="false">
      <c r="A24" s="209"/>
      <c r="B24" s="208"/>
      <c r="C24" s="210"/>
      <c r="D24" s="210"/>
      <c r="E24" s="210"/>
      <c r="F24" s="210"/>
      <c r="G24" s="81"/>
      <c r="H24" s="81"/>
      <c r="I24" s="81"/>
      <c r="J24" s="81"/>
      <c r="K24" s="81"/>
      <c r="L24" s="208"/>
      <c r="M24" s="208"/>
      <c r="N24" s="208"/>
    </row>
    <row r="25" customFormat="false" ht="14.25" hidden="false" customHeight="true" outlineLevel="0" collapsed="false">
      <c r="A25" s="209"/>
      <c r="B25" s="208"/>
      <c r="C25" s="210"/>
      <c r="D25" s="210"/>
      <c r="E25" s="210"/>
      <c r="F25" s="210"/>
      <c r="G25" s="81"/>
      <c r="H25" s="81"/>
      <c r="I25" s="81"/>
      <c r="J25" s="81"/>
      <c r="K25" s="81"/>
      <c r="L25" s="208"/>
      <c r="M25" s="208"/>
      <c r="N25" s="208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G1:K4"/>
  <mergeCells count="7">
    <mergeCell ref="A1:F1"/>
    <mergeCell ref="L1:N1"/>
    <mergeCell ref="A2:C2"/>
    <mergeCell ref="D2:F2"/>
    <mergeCell ref="L2:L3"/>
    <mergeCell ref="M2:M3"/>
    <mergeCell ref="N2:N3"/>
  </mergeCells>
  <dataValidations count="4">
    <dataValidation allowBlank="true" errorStyle="stop" operator="between" prompt="Click and enter a value from range Instructions!A63:A83" showDropDown="false" showErrorMessage="false" showInputMessage="true" sqref="I4:I25" type="list">
      <formula1>Instructions!$A$67:$A$88</formula1>
      <formula2>0</formula2>
    </dataValidation>
    <dataValidation allowBlank="true" errorStyle="stop" operator="between" prompt="Click and entEnter Y if you used association-endorsed software. Otherwise leave this cell blank.er a value from range" showDropDown="false" showErrorMessage="false" showInputMessage="true" sqref="K4:K25" type="list">
      <formula1>Instructions!$K$45</formula1>
      <formula2>0</formula2>
    </dataValidation>
    <dataValidation allowBlank="true" errorStyle="stop" operator="between" prompt="You must use the positional abbreviations as listed in the Instructions." showDropDown="false" showErrorMessage="false" showInputMessage="true" sqref="J4:J25" type="list">
      <formula1>Instructions!$A$74:$A$86</formula1>
      <formula2>0</formula2>
    </dataValidation>
    <dataValidation allowBlank="true" errorStyle="stop" operator="between" prompt="Game types outside the norm are not calculated on the Other Summary tab." showDropDown="false" showErrorMessage="false" showInputMessage="true" sqref="H4:H25" type="list">
      <formula1>Instructions!$A$60:$A$64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2026-06-27T12:25:35Z</dcterms:modified>
  <cp:revision>1</cp:revision>
  <dc:subject/>
  <dc:title/>
</cp:coreProperties>
</file>